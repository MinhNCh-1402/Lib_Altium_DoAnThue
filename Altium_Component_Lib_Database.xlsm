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Doanthue\AnhSao\Lib_Altium\"/>
    </mc:Choice>
  </mc:AlternateContent>
  <bookViews>
    <workbookView xWindow="-120" yWindow="-120" windowWidth="29040" windowHeight="15840" tabRatio="880"/>
  </bookViews>
  <sheets>
    <sheet name="Information" sheetId="15" r:id="rId1"/>
    <sheet name="01 IC" sheetId="14" r:id="rId2"/>
    <sheet name="02 Resistor" sheetId="16" r:id="rId3"/>
    <sheet name="03 Capacitor" sheetId="17" r:id="rId4"/>
    <sheet name="04 Diode TVS" sheetId="18" r:id="rId5"/>
    <sheet name="05 Relay" sheetId="19" r:id="rId6"/>
    <sheet name="06 LED" sheetId="20" r:id="rId7"/>
    <sheet name="07 Thyristor" sheetId="21" r:id="rId8"/>
    <sheet name="08 Button SW" sheetId="22" r:id="rId9"/>
    <sheet name="09  Connector" sheetId="23" r:id="rId10"/>
    <sheet name="10 User Interface" sheetId="24" r:id="rId11"/>
    <sheet name="11 INDUCTOR" sheetId="25" r:id="rId12"/>
    <sheet name="12 FUSE" sheetId="27" r:id="rId13"/>
    <sheet name="13 OPTOISOLATOR" sheetId="29" r:id="rId14"/>
    <sheet name="14 TRAN FET" sheetId="31" r:id="rId15"/>
    <sheet name="15 MODULE" sheetId="32" r:id="rId16"/>
    <sheet name="16 Transformer" sheetId="33" r:id="rId1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2" i="16" l="1"/>
  <c r="F20" i="23" l="1"/>
  <c r="F19" i="23"/>
  <c r="F18" i="23"/>
  <c r="F41" i="16"/>
  <c r="F36" i="17"/>
  <c r="F40" i="16"/>
  <c r="F39" i="16" l="1"/>
  <c r="F35" i="17"/>
  <c r="F34" i="17"/>
  <c r="F33" i="17" l="1"/>
  <c r="F32" i="17"/>
  <c r="F31" i="17"/>
  <c r="F17" i="23" l="1"/>
  <c r="F10" i="25" l="1"/>
  <c r="F38" i="16"/>
  <c r="F37" i="16"/>
  <c r="F30" i="17"/>
  <c r="F29" i="17"/>
  <c r="F36" i="16"/>
  <c r="F16" i="23"/>
  <c r="F9" i="25" l="1"/>
  <c r="F28" i="17"/>
  <c r="F35" i="16"/>
  <c r="F27" i="17" l="1"/>
  <c r="F34" i="16"/>
  <c r="F33" i="16"/>
  <c r="F32" i="16"/>
  <c r="F31" i="16"/>
  <c r="F25" i="17"/>
  <c r="F30" i="16"/>
  <c r="F26" i="17"/>
  <c r="F4" i="27"/>
  <c r="F29" i="16" l="1"/>
  <c r="F28" i="16" l="1"/>
  <c r="F27" i="16" l="1"/>
  <c r="F8" i="25"/>
  <c r="F24" i="17"/>
  <c r="F23" i="17" l="1"/>
  <c r="F26" i="16"/>
  <c r="F7" i="25" l="1"/>
  <c r="F6" i="25"/>
  <c r="F21" i="17"/>
  <c r="F22" i="17"/>
  <c r="F25" i="16"/>
  <c r="F24" i="16"/>
  <c r="F23" i="16"/>
  <c r="F15" i="23" l="1"/>
  <c r="F14" i="23"/>
  <c r="F13" i="23"/>
  <c r="F22" i="16"/>
  <c r="F21" i="16"/>
  <c r="F20" i="16"/>
  <c r="F19" i="16"/>
  <c r="F18" i="16" l="1"/>
  <c r="F17" i="16" l="1"/>
  <c r="F16" i="16"/>
  <c r="F12" i="23"/>
  <c r="F20" i="17"/>
  <c r="F19" i="17"/>
  <c r="F18" i="17"/>
  <c r="F17" i="17"/>
  <c r="F11" i="23"/>
  <c r="F10" i="23" l="1"/>
  <c r="F16" i="17"/>
  <c r="F15" i="17"/>
  <c r="F15" i="16"/>
  <c r="F14" i="16"/>
  <c r="F14" i="17" l="1"/>
  <c r="F9" i="23" l="1"/>
  <c r="F8" i="23"/>
  <c r="F13" i="16"/>
  <c r="F12" i="16"/>
  <c r="F13" i="17"/>
  <c r="F12" i="17"/>
  <c r="F11" i="17"/>
  <c r="F5" i="25" l="1"/>
  <c r="F7" i="23" l="1"/>
  <c r="F6" i="23"/>
  <c r="F5" i="23" l="1"/>
  <c r="F3" i="27"/>
  <c r="F10" i="17" l="1"/>
  <c r="F4" i="25"/>
  <c r="F11" i="16"/>
  <c r="F4" i="16"/>
  <c r="F10" i="16"/>
  <c r="F9" i="17"/>
  <c r="F8" i="17"/>
  <c r="F9" i="16"/>
  <c r="F8" i="16"/>
  <c r="F7" i="16"/>
  <c r="F3" i="25"/>
  <c r="F2" i="16" l="1"/>
  <c r="F3" i="16"/>
  <c r="F5" i="16"/>
  <c r="F6" i="16"/>
  <c r="F7" i="17"/>
  <c r="F2" i="27" l="1"/>
  <c r="F2" i="25"/>
  <c r="F6" i="17"/>
  <c r="F5" i="17"/>
  <c r="F4" i="17"/>
  <c r="F2" i="17"/>
  <c r="F3" i="17"/>
  <c r="F2" i="23"/>
  <c r="F3" i="23"/>
</calcChain>
</file>

<file path=xl/sharedStrings.xml><?xml version="1.0" encoding="utf-8"?>
<sst xmlns="http://schemas.openxmlformats.org/spreadsheetml/2006/main" count="2330" uniqueCount="1161">
  <si>
    <t>Value</t>
  </si>
  <si>
    <t>Library Ref</t>
  </si>
  <si>
    <t>Footprint Ref</t>
  </si>
  <si>
    <t>Package</t>
  </si>
  <si>
    <t>Description</t>
  </si>
  <si>
    <t>Manufacturer</t>
  </si>
  <si>
    <t>Product Category</t>
  </si>
  <si>
    <t>Length</t>
  </si>
  <si>
    <t>Width</t>
  </si>
  <si>
    <t>Hight</t>
  </si>
  <si>
    <t>Tolerance</t>
  </si>
  <si>
    <t>Alt-Value</t>
  </si>
  <si>
    <t>Dimension [mm]</t>
  </si>
  <si>
    <t>DC Rating</t>
  </si>
  <si>
    <t>Power Rating</t>
  </si>
  <si>
    <t>LIBRARTY MADE BY</t>
  </si>
  <si>
    <t>LINK VIET NAM</t>
  </si>
  <si>
    <t>LINK ORIGINAL</t>
  </si>
  <si>
    <t>BS86D12C-28SSOP</t>
  </si>
  <si>
    <t>HOLTEK</t>
  </si>
  <si>
    <t>SSOP-28 Microcontrollers (MCU/MPU/SOC) ROHS</t>
  </si>
  <si>
    <t>Embedded Processors &amp; Controllers/Microcontrollers (MCU/MPU/SOC)</t>
  </si>
  <si>
    <t>MinhNCh</t>
  </si>
  <si>
    <t>SSOP-28</t>
  </si>
  <si>
    <t>https://lcsc.com/product-detail/Microcontrollers-MCU-MPU-SOC_HOLTEK-BS86D12C-28SSOP_C5445213.html?s_z=n_BS86D12C</t>
  </si>
  <si>
    <t>BS86D12C</t>
  </si>
  <si>
    <t>HTM1668-TD</t>
  </si>
  <si>
    <t>TDSEMIC</t>
  </si>
  <si>
    <t>SOP-24 LED Drivers ROHS</t>
  </si>
  <si>
    <t>LED Drivers/LED Drivers</t>
  </si>
  <si>
    <t>SOP-24</t>
  </si>
  <si>
    <t>https://lcsc.com/product-detail/LED-Drivers_TDSEMIC-HTM1668-TD_C42422114.html</t>
  </si>
  <si>
    <t>https://shopee.vn/product/906994377/22311441768?utm_source=coccoc.com&amp;utm_medium=cpc&amp;utm_campaign=VN_COM_SEM_SHOPPING_NB_SP|Mix|All_top_shopping_QC&amp;utm_term=489613972&amp;utm_content=22311441768&amp;ctm_event_id=3197575073</t>
  </si>
  <si>
    <t>Part Number</t>
  </si>
  <si>
    <t>LMR16006XDDCR</t>
  </si>
  <si>
    <t>Texas Instruments</t>
  </si>
  <si>
    <t>IC REG BUCK ADJ 600MA SOT23</t>
  </si>
  <si>
    <t>Voltage Regulators - DC DC Switching Regulators</t>
  </si>
  <si>
    <t>SOT23</t>
  </si>
  <si>
    <t>2.90 mm × 1.60 mm</t>
  </si>
  <si>
    <t>https://www.digikey.com/en/products/detail/texas-instruments/LMR16006XDDCR/5034006?msockid=02994e86dd416417044958b2dc276587</t>
  </si>
  <si>
    <t>SOT95P280X110-6N</t>
  </si>
  <si>
    <t>LS05-13B12R3</t>
  </si>
  <si>
    <t>Mornsun America, LLC</t>
  </si>
  <si>
    <t>AC/DC CONVERTER 12V 5W</t>
  </si>
  <si>
    <t>AC DC Converters</t>
  </si>
  <si>
    <t>85 ~ 305 VAC, 70 ~ 430 VDC</t>
  </si>
  <si>
    <t>5 W</t>
  </si>
  <si>
    <t>26.4mm x 11.0mm x 12.6mm</t>
  </si>
  <si>
    <t>26.4mm</t>
  </si>
  <si>
    <t>11mm</t>
  </si>
  <si>
    <t>12.6mm</t>
  </si>
  <si>
    <t>https://www.digikey.co.uk/en/products/detail/mornsun-america-llc/LS05-13B12R3/13531111</t>
  </si>
  <si>
    <t>CONV_LS05-13B12R3</t>
  </si>
  <si>
    <t>HF32FV-16/12-HLTF(590)</t>
  </si>
  <si>
    <t>HF(Xiamen Hongfa Electroacoustic)</t>
  </si>
  <si>
    <t>277V@AC 12V 16A 1 Form A: 1A (SPST-NO) Through Hole,10.2x18.4mm Power Relays ROHS</t>
  </si>
  <si>
    <t>Relays/Power Relays</t>
  </si>
  <si>
    <t>Through Hole,10.2x18.4mm</t>
  </si>
  <si>
    <t>12V</t>
  </si>
  <si>
    <t>16A</t>
  </si>
  <si>
    <t>https://shopee.vn/RELAY-HF32FV-16-5-HLTF-(590)-16A-277VAC-16A-125VAC-16A-250VAC-TV-10-H%C3%80NG-M%E1%BB%9AI-CH%C3%8DNH-H%C3%83NG-D%C3%99NG-T%E1%BB%90T-i.196539408.41956017635?sp_atk=5ea8c808-3ac6-43eb-8859-550919816189&amp;xptdk=5ea8c808-3ac6-43eb-8859-550919816189</t>
  </si>
  <si>
    <t>https://lcsc.com/product-detail/Power-Relays_HF-Xiamen-Hongfa-Electroacoustic-HF32FV-16-12-HLTF-590_C2976828.html</t>
  </si>
  <si>
    <t>RELAY-TH_HF32FV-16-HLTF</t>
  </si>
  <si>
    <t>HF32F-G/012-HS</t>
  </si>
  <si>
    <t>12V 10A 1 Form A: 1A (SPST-NO) Through Hole,10.2x18.4mm Power Relays ROHS</t>
  </si>
  <si>
    <t>10A</t>
  </si>
  <si>
    <t>https://dientu360.com/relay-hf32f-g-012-hs-10a</t>
  </si>
  <si>
    <t>RELAY-TH_HF32F-G/012-HS</t>
  </si>
  <si>
    <t>BTA16-800BWRG</t>
  </si>
  <si>
    <t>ST</t>
  </si>
  <si>
    <t>35mA 50mA 800V 1 TRIAC TO-220AB Thyristors (SCR)/Modules ROHS</t>
  </si>
  <si>
    <t>Transistors/Thyristors/Thyristors (SCR)/Modules</t>
  </si>
  <si>
    <t>TO-220AB</t>
  </si>
  <si>
    <t>https://lcsc.com/product-detail/Thyristors-SCR-Modules_ST-BTA16-800BWRG_C10065.html?s_z=n_BTA16</t>
  </si>
  <si>
    <t>https://shopee.vn/BTA06-800C-BTA08-.....BTA16-TRIAC-6A-16A-800V-(-Combo-2-con-)-i.898903714.29113227486?sp_atk=f2eb2d77-1cc9-40d1-a474-e5d379c3bff8&amp;xptdk=f2eb2d77-1cc9-40d1-a474-e5d379c3bff8</t>
  </si>
  <si>
    <t>https://www.lanpade.com/7-segment-led-dot-matrix/3361as.html</t>
  </si>
  <si>
    <t>3361AS</t>
  </si>
  <si>
    <t>XLITX TECHNOLOGY</t>
  </si>
  <si>
    <t> LED 7-Segment Display</t>
  </si>
  <si>
    <t>0.36-inch Red 3-Digit CC LED 7-Segment Display</t>
  </si>
  <si>
    <t>0.36-inch</t>
  </si>
  <si>
    <t>https://linhkien.cxtvn.com/8335-led-7-thanh-036-inch-3-so-mau-do-k-chung-3361as.html</t>
  </si>
  <si>
    <t>2381AS</t>
  </si>
  <si>
    <t>test_point</t>
  </si>
  <si>
    <t>Test Point</t>
  </si>
  <si>
    <t>Test_Point</t>
  </si>
  <si>
    <t>LED-7SEG-0.36INCH</t>
  </si>
  <si>
    <t>0.28-inch Red 3-Digit CC LED 7-Segment Display</t>
  </si>
  <si>
    <t>LED 7-Segment Display</t>
  </si>
  <si>
    <t>0.28-inch</t>
  </si>
  <si>
    <t>https://www.lanpade.com/7-segment-led-dot-matrix/2381as.html</t>
  </si>
  <si>
    <t>https://shopee.vn/2381AS-LED-7-%C4%90o%E1%BA%A1n-0.28inch-%C4%90%E1%BB%8F-3-S%E1%BB%91-%C3%82m-Chung-5-i.529826298.25330220009</t>
  </si>
  <si>
    <t>LED-7SEG-0.28inch</t>
  </si>
  <si>
    <t>https://linhkien.cxtvn.com/8433-lo-xo-cam-ung-f10-h13mm.html</t>
  </si>
  <si>
    <t>F10-H13mm</t>
  </si>
  <si>
    <t>China</t>
  </si>
  <si>
    <t>BTN_TOUCH</t>
  </si>
  <si>
    <t>https://www.digikey.com/en/products/detail/w%C3%BCrth-elektronik/7471287/9488014</t>
  </si>
  <si>
    <t>Würth Elektronik</t>
  </si>
  <si>
    <t>CIRCUIT-BOARD BLADE TERMINAL 6.3</t>
  </si>
  <si>
    <t>Quick Connects, Quick Disconnect Connectors</t>
  </si>
  <si>
    <t>7.92mm</t>
  </si>
  <si>
    <t>6.35mm</t>
  </si>
  <si>
    <t>EEUEB2W100B</t>
  </si>
  <si>
    <t>PANASONIC</t>
  </si>
  <si>
    <t>10uF 450V ±20% 310mA@100kHz Through Hole,D12.5xL20mm Aluminum Electrolytic Capacitors - Leaded ROHS</t>
  </si>
  <si>
    <t>Capacitors/Aluminum Electrolytic Capacitors - Leaded</t>
  </si>
  <si>
    <t>10uF</t>
  </si>
  <si>
    <t>450V</t>
  </si>
  <si>
    <t>±20%</t>
  </si>
  <si>
    <t>12.5mm</t>
  </si>
  <si>
    <t>Through Hole,D12.5xL20mm</t>
  </si>
  <si>
    <t>https://lcsc.com/product-detail/Aluminum-Electrolytic-Capacitors-Leaded_PANASONIC-EEUEB2W100B_C278521.html?s_z=n_%252010uF%2520450V%2520Changxin</t>
  </si>
  <si>
    <t>20mm</t>
  </si>
  <si>
    <t>Polarised Capacitor</t>
  </si>
  <si>
    <t>CAP TH ALUM ELEC D12.50mm S5.00mm H20.00mm</t>
  </si>
  <si>
    <t>https://linhkien.cxtvn.com/7633-tu-hoa-10uf-450v-changxin-10x17mm-tan-so-cao.html</t>
  </si>
  <si>
    <t>KEMET</t>
  </si>
  <si>
    <t>Capacitors/Tantalum Capacitors</t>
  </si>
  <si>
    <t>T523H477M016APE070</t>
  </si>
  <si>
    <t xml:space="preserve"> 
470uF 16V 70mΩ@100kHz ±20% CASE-H-7360-20(mm) Tantalum Capacitors ROHS </t>
  </si>
  <si>
    <t>470uF</t>
  </si>
  <si>
    <t>16V</t>
  </si>
  <si>
    <t>CASE-H-7360-20(mm)</t>
  </si>
  <si>
    <t>https://linhkienchatluong.vn/tu-tantalium/tu-tantalum-7343-477c-16v-470uf-73x43mm_sp460_ct4759.aspx</t>
  </si>
  <si>
    <t>https://lcsc.com/product-detail/Tantalum-Capacitors_KEMET-T523H477M016APE070_C600599.html</t>
  </si>
  <si>
    <t>CAP POL 2917_7343</t>
  </si>
  <si>
    <t>BI Technologies / TT Electronics</t>
  </si>
  <si>
    <t>Power Inductors - SMD 4.7uH +/-20% @0A AEC-Q200</t>
  </si>
  <si>
    <t>Power Inductors - SMD</t>
  </si>
  <si>
    <t>4.7 uH</t>
  </si>
  <si>
    <t>3.5 A</t>
  </si>
  <si>
    <t>2 mm</t>
  </si>
  <si>
    <t>4.05 mm</t>
  </si>
  <si>
    <t>4.45 mm</t>
  </si>
  <si>
    <t>https://kme.com.vn/cuon-cam-dan-04204r7-47uh-22a-43x47x2mm-chinh-hang.p4213587.html</t>
  </si>
  <si>
    <t>Inductor</t>
  </si>
  <si>
    <t>https://www.mouser.com/ProductDetail/BI-Technologies-TT-Electronics/HA72L-04204R7LFTR?qs=byeeYqUIh0NnCqsKma2jSg%3D%3D</t>
  </si>
  <si>
    <t>35ZLJ47M5X11</t>
  </si>
  <si>
    <t>Rubycon</t>
  </si>
  <si>
    <t>47uF 35V ±20% Through Hole,D5xL11mm Aluminum Electrolytic Capacitors - Leaded ROHS</t>
  </si>
  <si>
    <t>47uF</t>
  </si>
  <si>
    <t>35V</t>
  </si>
  <si>
    <t>Through Hole,D5xL11mm</t>
  </si>
  <si>
    <t>5mm</t>
  </si>
  <si>
    <t>https://lcsc.com/product-detail/Aluminum-Electrolytic-Capacitors-Leaded_Rubycon-35ZLJ47M5X11_C432384.html?s_z=n_35ZLJ47M8X11</t>
  </si>
  <si>
    <t>https://linhkienviet.vn/tu-phan-cuc-47uf-35v</t>
  </si>
  <si>
    <t>CAP TH ALUM ELEC D5.00mm S2.00mm H11.00mm</t>
  </si>
  <si>
    <t>https://linhkien.cxtvn.com/1981-tu-0603-khong-phan-cuc.html</t>
  </si>
  <si>
    <t>GRM188R71H104KA93D</t>
  </si>
  <si>
    <t>muRata</t>
  </si>
  <si>
    <t>50V 100nF X7R ±10% 0603 Multilayer Ceramic Capacitors MLCC - SMD/SMT ROHS</t>
  </si>
  <si>
    <t>Capacitors/Multilayer Ceramic Capacitors MLCC - SMD/SMT</t>
  </si>
  <si>
    <t>100nF</t>
  </si>
  <si>
    <t>±10%</t>
  </si>
  <si>
    <t>50V</t>
  </si>
  <si>
    <t>https://lcsc.com/product-detail/Multilayer-Ceramic-Capacitors-MLCC-SMD-SMT_muRata-GRM188R71H104KA93D_C77055.html?s_z=n_GRM188R71H104KA93D</t>
  </si>
  <si>
    <t>Capacitor</t>
  </si>
  <si>
    <t>0603</t>
  </si>
  <si>
    <t>C 0603</t>
  </si>
  <si>
    <t>C717U102MYWDBA7301</t>
  </si>
  <si>
    <t>CAP CER 1000PF 400VAC Y5U RADIAL</t>
  </si>
  <si>
    <t>Ceramic Capacitors</t>
  </si>
  <si>
    <t>1nF</t>
  </si>
  <si>
    <t>400VAC</t>
  </si>
  <si>
    <t>8.00mm</t>
  </si>
  <si>
    <t>12.00mm</t>
  </si>
  <si>
    <t>https://muathongminh.vn/goi-50-con-tu-gom-dien-cao-ap-400v-102m-1000pf-1nf-linh-kien-bep-tu-p.2__788772473</t>
  </si>
  <si>
    <t>https://www.digikey.com/en/products/detail/kemet/C717U102MYWDBA7301/8571477</t>
  </si>
  <si>
    <t>CN3</t>
  </si>
  <si>
    <t>SMBJ20A</t>
  </si>
  <si>
    <t>onsemi / Fairchild</t>
  </si>
  <si>
    <t>ESD Protection Diodes / TVS Diodes 20V 600W SMB Unidirectional</t>
  </si>
  <si>
    <t>ESD Protection Diodes / TVS Diodes</t>
  </si>
  <si>
    <t>20 V</t>
  </si>
  <si>
    <t>600 W</t>
  </si>
  <si>
    <t>DO-214AA-2</t>
  </si>
  <si>
    <t>https://www.mouser.com/ProductDetail/onsemi-Fairchild/SMBJ20A?qs=7iSPhMeRuSKLLa3i7C1GAw%3D%3D&amp;srsltid=AfmBOopsC87sfsVCsxwBUnub62CT1JwKGc02WfrOdxj4yHqCAAaYRS0x</t>
  </si>
  <si>
    <t>https://linhkienviet.vn/diode-tvs-24v-smbj24a-do-214aa</t>
  </si>
  <si>
    <t>DO214AA SMB</t>
  </si>
  <si>
    <t>DIODE TVS UNI</t>
  </si>
  <si>
    <t>460DC  350AC</t>
  </si>
  <si>
    <t>https://shopee.vn/B%E1%BB%99-5-Linh-Ki%E1%BB%87n-%C4%90i%E1%BB%87n-T%E1%BB%AD-s14k140-k150-k175-k230-k250-k275-k300-k320-k350-k385-k420-k460-k510-k550-k625-s14-i.380384487.23957993279</t>
  </si>
  <si>
    <t>RTD</t>
  </si>
  <si>
    <t>B72214S0351K101</t>
  </si>
  <si>
    <t>EPCOS - TDK Electronics</t>
  </si>
  <si>
    <t>VARISTOR 560V 4.5KA DISC 14MM</t>
  </si>
  <si>
    <t>Varistors, MOVs</t>
  </si>
  <si>
    <t>Disc 14mm</t>
  </si>
  <si>
    <t>https://www.digikey.com/en/products/detail/epcos-tdk-electronics/B72214S0351K101/3500928?msockid=02994e86dd416417044958b2dc276587</t>
  </si>
  <si>
    <t>VAR_B72214S0351K101</t>
  </si>
  <si>
    <t>https://www.linhkienchatluong.vn/cuon-cam-vach-mau-1w-0510/cuon-cam-vach-1w-47mh-0510-10c_sp1444_ct15825.aspx</t>
  </si>
  <si>
    <t>CHINA</t>
  </si>
  <si>
    <t>4.7mH</t>
  </si>
  <si>
    <t>± 10%</t>
  </si>
  <si>
    <t>55mA</t>
  </si>
  <si>
    <t>4.7mH Color Ring Inductor, 0510, 1W</t>
  </si>
  <si>
    <t>ZLF0510</t>
  </si>
  <si>
    <t>0510</t>
  </si>
  <si>
    <t>IND-LINE-0510</t>
  </si>
  <si>
    <t>https://shopee.vn/product/906994377/21366551364?utm_source=coccoc.com&amp;utm_medium=cpc&amp;utm_campaign=VN_COM_SEM_SHOPPING_NB_SP|Mix|All_top_shopping_QC&amp;utm_term=489613972&amp;utm_content=21366551364&amp;ctm_event_id=3470487609</t>
  </si>
  <si>
    <t>Resistor</t>
  </si>
  <si>
    <t>RES-2W</t>
  </si>
  <si>
    <t>2W</t>
  </si>
  <si>
    <t>https://linhkienviet.vn/chan-de-cau-chi-5-20</t>
  </si>
  <si>
    <t>Fuse</t>
  </si>
  <si>
    <t>FUSE</t>
  </si>
  <si>
    <t>https://shopee.vn/product/466616971/20523286634?utm_source=coccoc.com&amp;utm_medium=cpc&amp;utm_campaign=VN_COM_SEM_SHOPPING_NB_SP|Mix|All_top_shopping_QC&amp;utm_term=489613972&amp;utm_content=20523286634&amp;ctm_event_id=389141059</t>
  </si>
  <si>
    <t>2A 5x20mm 250v</t>
  </si>
  <si>
    <t>CPF212R000FKE14</t>
  </si>
  <si>
    <t>Vishay</t>
  </si>
  <si>
    <t>Metal Film Resistors - Through Hole 2watts 12ohms 1% 100ppm</t>
  </si>
  <si>
    <t>Metal Film Resistors - Through Hole</t>
  </si>
  <si>
    <t>350 V</t>
  </si>
  <si>
    <t>3.68 mm</t>
  </si>
  <si>
    <t>8.74 mm</t>
  </si>
  <si>
    <t>https://www.mouser.vn/ProductDetail/Vishay-Dale/CPF212R000FKE14?qs=sGAEpiMZZMtlubZbdhIBIOMHnp4AuhR%2FsONjzzR3Ee0%3D</t>
  </si>
  <si>
    <t>RT0603BRD07100KL</t>
  </si>
  <si>
    <t>YAGEO</t>
  </si>
  <si>
    <t>RES SMD 100K OHM 0.1% 1/10W 0603</t>
  </si>
  <si>
    <t>Chip Resistor - Surface Mount</t>
  </si>
  <si>
    <t>100K</t>
  </si>
  <si>
    <t>0.1% </t>
  </si>
  <si>
    <t>1/10W</t>
  </si>
  <si>
    <t>0.55mm</t>
  </si>
  <si>
    <t>1.60mm</t>
  </si>
  <si>
    <t>https://www.digikey.com/en/products/detail/yageo/RT0603BRD07100KL/1072187</t>
  </si>
  <si>
    <t>RES-SMD-0603</t>
  </si>
  <si>
    <t>https://linhkien.cxtvn.com/1423-dien-tro-0603-1-thong-so-tu-100k-den-910k.html</t>
  </si>
  <si>
    <t>SS14</t>
  </si>
  <si>
    <t>onsemi</t>
  </si>
  <si>
    <t>DIODE SCHOTTKY 40V 1A DO214AC</t>
  </si>
  <si>
    <t>Single Diodes</t>
  </si>
  <si>
    <t>40 V</t>
  </si>
  <si>
    <t>1A</t>
  </si>
  <si>
    <t>DO-214AC (SMA)</t>
  </si>
  <si>
    <t>https://www.digikey.com/en/products/detail/onsemi/SS14/965474?msockid=02994e86dd416417044958b2dc276587</t>
  </si>
  <si>
    <t>https://linhkien.cxtvn.com/9090-ss14-diode-schottky-40v-1a-smado-214ac.html</t>
  </si>
  <si>
    <t>DO214AC SMA</t>
  </si>
  <si>
    <t>GRM21BR61H106KE43L</t>
  </si>
  <si>
    <t>Murata Electronics</t>
  </si>
  <si>
    <t>CAP CER 10UF 50V X5R 0805</t>
  </si>
  <si>
    <t>0805</t>
  </si>
  <si>
    <t>2.00mm x 1.25mm</t>
  </si>
  <si>
    <t>https://www.digikey.com/en/products/detail/murata-electronics/GRM21BR61H106KE43L/10326316</t>
  </si>
  <si>
    <t>https://linhkien.cxtvn.com/1978-tu-khong-phan-cuc-0805.html</t>
  </si>
  <si>
    <t>C 0805</t>
  </si>
  <si>
    <t>RC0603FR-1010KL</t>
  </si>
  <si>
    <t>RES 10K OHM 1% 1/10W 0603</t>
  </si>
  <si>
    <t>10K</t>
  </si>
  <si>
    <t> ±1% </t>
  </si>
  <si>
    <t>1.60mm x 0.80mm</t>
  </si>
  <si>
    <t>0.80mm</t>
  </si>
  <si>
    <t>https://linhkien.cxtvn.com/1422-dien-tro-0603-1-thong-so-tu-1k-den-91k.html</t>
  </si>
  <si>
    <t>https://www.digikey.com/en/products/detail/murata-electronics/GRM21BR61H106KE43L/10326316https://www.digikey.com/en/products/detail/yageo/RC0603FR-1010KL/12756395</t>
  </si>
  <si>
    <t>RC0603FR-0756KL</t>
  </si>
  <si>
    <t>RES 56K OHM 1% 1/10W 0603</t>
  </si>
  <si>
    <t>56K</t>
  </si>
  <si>
    <t>±1%</t>
  </si>
  <si>
    <t>https://linhkien.cxtvn.com/4025-dien-tro-0603-1-thong-so-tu-1k-den-91k.html</t>
  </si>
  <si>
    <t>https://www.digikey.com/en/products/detail/yageo/RC0603FR-0756KL/2827626</t>
  </si>
  <si>
    <t>CY54-6.8UH</t>
  </si>
  <si>
    <t>SHOU HAN</t>
  </si>
  <si>
    <t>2.4A 6.8uH ±20% 58.5mΩ SMD,5.8x5.2mm Inductors (SMD) ROHS</t>
  </si>
  <si>
    <t>Inductors, Coils, Chokes/Inductors (SMD)</t>
  </si>
  <si>
    <t>6.8uH</t>
  </si>
  <si>
    <t>SMD,5.8x5.2mm</t>
  </si>
  <si>
    <t>https://lcsc.com/product-detail/Inductors-SMD_SHOU-HAN-CY54-6-8UH_C2929430.html</t>
  </si>
  <si>
    <t>https://linhkien.cxtvn.com/11588-cuon-cam-68uh-cd53-470-58x52x3mm.html</t>
  </si>
  <si>
    <t>IND-SMD_L5.8-W5.2</t>
  </si>
  <si>
    <t>DIP-6-7.62mm</t>
  </si>
  <si>
    <t>MOC3021</t>
  </si>
  <si>
    <t>Lite-On Inc.</t>
  </si>
  <si>
    <t>OPTOISOLATOR 5KV TRIAC 1CH 6-DIP</t>
  </si>
  <si>
    <t>Triac, SCR Output Optoisolators</t>
  </si>
  <si>
    <t>6-DIP (0.300", 7.62mm)</t>
  </si>
  <si>
    <t>https://www.digikey.com/en/products/detail/liteon/MOC3021/385844?msockid=02994e86dd416417044958b2dc276587</t>
  </si>
  <si>
    <t>https://linhkien.cxtvn.com/9778-moc3021-optoisolator-5kv-triac-6dip.html</t>
  </si>
  <si>
    <t>RT0603DRD07220RL</t>
  </si>
  <si>
    <t>RES SMD 220 OHM 0.5% 1/10W 0603</t>
  </si>
  <si>
    <t>±0.5%</t>
  </si>
  <si>
    <t>https://linhkien.cxtvn.com/4231-dien-tro-220r-0603-05-10c.html</t>
  </si>
  <si>
    <t>https://www.digikey.com/en/products/detail/yageo/RT0603DRD07220RL/1035483</t>
  </si>
  <si>
    <t>https://linhkien.cxtvn.com/2277-dien-tro-0603-5-thong-so-0r-den-910r.html</t>
  </si>
  <si>
    <t>RC0603JR-07360RL</t>
  </si>
  <si>
    <t>RES 360 OHM 5% 1/10W 0603</t>
  </si>
  <si>
    <t> ±5%</t>
  </si>
  <si>
    <t>AF0603JR-07470RL</t>
  </si>
  <si>
    <t>RES SMD 470 OHM 5% 1/10W 0603</t>
  </si>
  <si>
    <t>https://www.digikey.com/en/products/detail/yageo/AF0603JR-07470RL/5901179</t>
  </si>
  <si>
    <t>https://www.digikey.com/en/products/detail/yageo/RC0603JR-07360RL/726773?msockid=02994e86dd416417044958b2dc276587</t>
  </si>
  <si>
    <t>https://linhkien.cxtvn.com/8515-tu-cbb22-cac-gia-tri.html</t>
  </si>
  <si>
    <t>CFC2G104JG1I170DB100</t>
  </si>
  <si>
    <t>Dersonic</t>
  </si>
  <si>
    <t>100nF -40℃~+105℃ ±5% 400V Through Hole,P=15mm Polypropylene Film Capacitors (CBB) ROHS</t>
  </si>
  <si>
    <t>Capacitors/Polypropylene Film Capacitors (CBB)</t>
  </si>
  <si>
    <t>±5%</t>
  </si>
  <si>
    <t>400V</t>
  </si>
  <si>
    <t>Through Hole,P=15mm</t>
  </si>
  <si>
    <t>https://lcsc.com/product-detail/Polypropylene-Film-Capacitors-CBB_Dersonic-CFC2G104JG1I170DB100_C719322.html</t>
  </si>
  <si>
    <t>CAP_MICA_15MM</t>
  </si>
  <si>
    <t>https://linhkien.cxtvn.com/4134-tu-cbb22-cac-gia-tri.html</t>
  </si>
  <si>
    <t>MPP223K2G4AA420MA1</t>
  </si>
  <si>
    <t>JOEY</t>
  </si>
  <si>
    <t>22nF -40℃~+105℃ ±10% 400V Through Hole,P=10mm Polypropylene Film Capacitors (CBB) ROHS</t>
  </si>
  <si>
    <t>Through Hole,P=10mm</t>
  </si>
  <si>
    <t>22nF</t>
  </si>
  <si>
    <t>https://lcsc.com/product-detail/Polypropylene-Film-Capacitors-CBB_JOEY-MPP223K2G4AA420MA1_C4355354.html</t>
  </si>
  <si>
    <t>CAP_MICA_10MM</t>
  </si>
  <si>
    <t>https://linhkien.cxtvn.com/10751-dien-tro-vach-2w-47r-5-10c.html</t>
  </si>
  <si>
    <t>FMP200JR-52-47R</t>
  </si>
  <si>
    <t>RES 47 OHM 5% 2W AXIAL</t>
  </si>
  <si>
    <t>Through Hole Resistors</t>
  </si>
  <si>
    <t>3.90mm </t>
  </si>
  <si>
    <t>9.00mm</t>
  </si>
  <si>
    <t>https://www.digikey.com/en/products/detail/yageo/FMP200JR-52-47R/2058696</t>
  </si>
  <si>
    <t>BC337 PBFREE</t>
  </si>
  <si>
    <t>Central Semiconductor</t>
  </si>
  <si>
    <t>Bipolar Transistors - BJT NPN SS Aud Amp</t>
  </si>
  <si>
    <t>Bipolar Transistors - BJT</t>
  </si>
  <si>
    <t>TO-92-3</t>
  </si>
  <si>
    <t>https://linhkien.cxtvn.com/10756-bc337-40-npn-trans-08a-45v-to-92-10c.html</t>
  </si>
  <si>
    <t>https://www.mouser.vn/ProductDetail/Central-Semiconductor/BC337-PBFREE?qs=l7cgNqFNU1iCKzpIYRhhTA%3D%3D</t>
  </si>
  <si>
    <t>NPN_TO-92</t>
  </si>
  <si>
    <t>45 V</t>
  </si>
  <si>
    <t>0.8A</t>
  </si>
  <si>
    <t>1N4007</t>
  </si>
  <si>
    <t>TWGMC</t>
  </si>
  <si>
    <t>1A Independent 1kV 1.1V@1A SMA(DO-214AC) Diodes - General Purpose ROHS</t>
  </si>
  <si>
    <t>Diodes/Diodes - General Purpose</t>
  </si>
  <si>
    <t>1kV</t>
  </si>
  <si>
    <t>SMA(DO-214AC)</t>
  </si>
  <si>
    <t>https://linhkien.cxtvn.com/9014-1n4007-s1m-diode-chinh-luu-1a-1000v-smado-214ac.html</t>
  </si>
  <si>
    <t>https://lcsc.com/product-detail/Diodes-General-Purpose_TWGMC-1N4007_C727081.html</t>
  </si>
  <si>
    <t>AC0603FR-07120RL</t>
  </si>
  <si>
    <t>RES SMD 120 OHM 1% 1/10W 0603</t>
  </si>
  <si>
    <t>https://linhkien.cxtvn.com/3447-dien-tro-0603-1-thong-so-tu-0r-den-910r.html</t>
  </si>
  <si>
    <t>https://www.digikey.com/en/products/detail/yageo/AC0603FR-07120RL/5895761</t>
  </si>
  <si>
    <t>DC Resistance</t>
  </si>
  <si>
    <t>110 mOhms</t>
  </si>
  <si>
    <t>58.5mΩ</t>
  </si>
  <si>
    <t>2.4A</t>
  </si>
  <si>
    <t>CBG201209U101T</t>
  </si>
  <si>
    <t>FH</t>
  </si>
  <si>
    <t>180mΩ ±25% 100Ω@100MHz 0805 Ferrite Beads ROHS</t>
  </si>
  <si>
    <t>Filters/Ferrite Beads</t>
  </si>
  <si>
    <t>100Ω</t>
  </si>
  <si>
    <t>±25%</t>
  </si>
  <si>
    <t>180mΩ</t>
  </si>
  <si>
    <t>500mA</t>
  </si>
  <si>
    <t>https://linhkien.cxtvn.com/8165-ferrite-beads-smd0805-cac-gia-tri.html</t>
  </si>
  <si>
    <t>https://lcsc.com/product-detail/Ferrite-Beads_FH-Guangdong-Fenghua-Advanced-Tech-CBG201209U101T_C74480.html</t>
  </si>
  <si>
    <t>Ferrite Chip</t>
  </si>
  <si>
    <t>FER 0805_2012</t>
  </si>
  <si>
    <t>BCP56-16T1G</t>
  </si>
  <si>
    <t>TRANS NPN 80V 1A SOT223</t>
  </si>
  <si>
    <t>Single Bipolar Transistors</t>
  </si>
  <si>
    <t>80 V</t>
  </si>
  <si>
    <t>SOT-223 (TO-261)</t>
  </si>
  <si>
    <t>https://www.digikey.com/en/products/detail/onsemi/BCP56-16T1G/918356?msockid=02994e86dd416417044958b2dc276587</t>
  </si>
  <si>
    <t>https://linhkien.cxtvn.com/4412-bcp56-16t1g-trans-npn-80v-1a-sot223.html</t>
  </si>
  <si>
    <t>NPN_SMD_SOT-223</t>
  </si>
  <si>
    <t>NPN_SOT-223</t>
  </si>
  <si>
    <t>BUZZER_5V-9D5.5H5.08P-TH</t>
  </si>
  <si>
    <t>BUZZER</t>
  </si>
  <si>
    <t>TMB09A05</t>
  </si>
  <si>
    <t>XHXDZ</t>
  </si>
  <si>
    <t>Active Buzzer (Built-in Driving Circuit) 5V Electromagnetic 2.7kHz Through Hole,D9xL5.5mm Buzzers ROHS</t>
  </si>
  <si>
    <t>Audio Products / Vibration Motors/Buzzers</t>
  </si>
  <si>
    <t>5V</t>
  </si>
  <si>
    <t>9mm</t>
  </si>
  <si>
    <t>5.5mm</t>
  </si>
  <si>
    <t>Through Hole,D9xL5.5mm</t>
  </si>
  <si>
    <t>https://lcsc.com/product-detail/Buzzers_XHXDZ-TMB09A05_C49246939.html?s_z=n_TMB09A05</t>
  </si>
  <si>
    <t>https://linhkien.cxtvn.com/3395-coi-chip-3512v-tmb09a05-9x5mm.html</t>
  </si>
  <si>
    <t>CC0805DRNPO9BN8R0</t>
  </si>
  <si>
    <t>CAP CER 8PF 50V C0G/NPO 0805</t>
  </si>
  <si>
    <t>8pF</t>
  </si>
  <si>
    <t> ±0.5pF</t>
  </si>
  <si>
    <t>2.00mm</t>
  </si>
  <si>
    <t>1.25mm</t>
  </si>
  <si>
    <t>0.60mm</t>
  </si>
  <si>
    <t> 0.80mm</t>
  </si>
  <si>
    <t>0.90mm</t>
  </si>
  <si>
    <t>https://linhkien.cxtvn.com/9772-tu-khong-phan-cuc-0805.html</t>
  </si>
  <si>
    <t>https://www.digikey.com/en/products/detail/murata-electronics/GRM188R71H104KA93D/587143?msockid=02994e86dd416417044958b2dc276587</t>
  </si>
  <si>
    <t>https://shopee.vn/C%E1%BA%A7u-ch%C3%AC-t%E1%BB%B1-ph%E1%BB%A5c-h%E1%BB%93i-PTC-250V-JK250-0.4A-0.5A-0.6A-0.8A-1A-1.2A-1.5A-2A-Plug-in-Lo%E1%BA%A1i-c%E1%BA%A7u-ch%C3%AC-t%E1%BB%B1-ph%E1%BB%A5c-h%E1%BB%93i-250V-i.1413002069.26271813411?sp_atk=8d5cdb18-a334-4da2-9cf6-654b50461a65&amp;xptdk=8d5cdb18-a334-4da2-9cf6-654b50461a65</t>
  </si>
  <si>
    <t>JK250-2000U</t>
  </si>
  <si>
    <t>Jinrui Electronic Materials Co.</t>
  </si>
  <si>
    <t>250V 2A 10A 4A Through Hole,P=10.2mm Resettable Fuses ROHS</t>
  </si>
  <si>
    <t>Circuit Protection/Resettable Fuses</t>
  </si>
  <si>
    <t>Through Hole,P=10.2mm</t>
  </si>
  <si>
    <t>250V</t>
  </si>
  <si>
    <t>2A</t>
  </si>
  <si>
    <t>https://lcsc.com/product-detail/Resettable-Fuses_Jinrui-Electronic-Materials-Co-JK250-2000U_C369140.html</t>
  </si>
  <si>
    <t>FUSE-JK250-2000U</t>
  </si>
  <si>
    <t>Header2</t>
  </si>
  <si>
    <t>KF7_2P</t>
  </si>
  <si>
    <t>KF128-5.08-2P-AA</t>
  </si>
  <si>
    <t>Cixi Kefa Elec</t>
  </si>
  <si>
    <t>1x2P 24A -40℃~+105℃ 250V Green 12~22 Through Hole 5.08mm 2.5 1 2 Through Hole,P=5.08mm Screw Terminal Blocks ROHS</t>
  </si>
  <si>
    <t>Connectors/Screw Terminal Blocks</t>
  </si>
  <si>
    <t>Through Hole,P=5.08mm</t>
  </si>
  <si>
    <t>24A</t>
  </si>
  <si>
    <t>KF7.62-2P</t>
  </si>
  <si>
    <t>1x2P Side Mount 2-Side 2 1 7.62mm 24A -40℃~+105℃ 450V Black 12~22 Straight Pin 2.5 Through Hole,P=7.62mm Barrier Terminal Blocks ROHS</t>
  </si>
  <si>
    <t>Connectors/Barrier Terminal Blocks</t>
  </si>
  <si>
    <t>Through Hole,P=7.62mm</t>
  </si>
  <si>
    <t>TP</t>
  </si>
  <si>
    <t>Though Hole</t>
  </si>
  <si>
    <t>TP_TH_1.0/1.5MM</t>
  </si>
  <si>
    <t>https://lcsc.com/product-detail/Barrier-Terminal-Blocks_Cixi-Kefa-Elec-KF7-62-2P_C707824.html</t>
  </si>
  <si>
    <t>https://linhkien.cxtvn.com/8859-cau-dau-kf762-762mm.html</t>
  </si>
  <si>
    <t>https://linhkien.cxtvn.com/1306-led-0805-cac-mau.html</t>
  </si>
  <si>
    <t>NCD0805R1</t>
  </si>
  <si>
    <t>Foshan NationStar Optoelectronics</t>
  </si>
  <si>
    <t>25mA 67mcd~195mcd -30℃~+85℃ 615nm~630nm Discrete Diode Red 130° 65mW 1.6V~2.6V 0805 LED Indication - Discrete ROHS</t>
  </si>
  <si>
    <t>Optoelectronics/LED Indication - Discrete</t>
  </si>
  <si>
    <t>25mA</t>
  </si>
  <si>
    <t>1.6V~2.6V</t>
  </si>
  <si>
    <t>https://lcsc.com/product-detail/LED-Indication-Discrete_Foshan-NationStar-Optoelectronics-NCD0805R1_C84256.html?s_z=n_led%25200805%2520ered</t>
  </si>
  <si>
    <t>LED SMD RED</t>
  </si>
  <si>
    <t>LED-0805-WHITE</t>
  </si>
  <si>
    <t>LED-0805-RED</t>
  </si>
  <si>
    <t>LED SMD YELLOW</t>
  </si>
  <si>
    <t>LED SMD BLUE</t>
  </si>
  <si>
    <t>LED SMD WHITE</t>
  </si>
  <si>
    <t>LED SMD PURPLE</t>
  </si>
  <si>
    <t>LED SMD GREEN</t>
  </si>
  <si>
    <t>LED-0805-YELLOW</t>
  </si>
  <si>
    <t>LED-0805-BLUE</t>
  </si>
  <si>
    <t>LED-0805-PURPLE</t>
  </si>
  <si>
    <t>LED-0805-GREEN</t>
  </si>
  <si>
    <t>NCD0805G1</t>
  </si>
  <si>
    <t>20mA 180mcd~400mcd 525nm~537.5nm -30℃~+85℃ Green 130° 72mW 2.5V~3.6V 0805 LED Indication - Discrete ROHS</t>
  </si>
  <si>
    <t>2.5V~3.6V</t>
  </si>
  <si>
    <t>20mA</t>
  </si>
  <si>
    <t>https://lcsc.com/product-detail/LED-Indication-Discrete_Foshan-NationStar-Optoelectronics-NCD0805G1_C84260.html?s_z=n_led%25200805</t>
  </si>
  <si>
    <t>https://linhkien.cxtvn.com/1309-led-0805-cac-mau.html</t>
  </si>
  <si>
    <t>XL-2012UYC</t>
  </si>
  <si>
    <t>XINGLIGHT</t>
  </si>
  <si>
    <t>20mA 535mcd Water Clear 585nm~595nm op View Mount Yellow 120° 50mW 2.3V 0805 LED Indication - Discrete ROHS</t>
  </si>
  <si>
    <t>2.3V</t>
  </si>
  <si>
    <t>10mA</t>
  </si>
  <si>
    <t>https://lcsc.com/product-detail/LED-Indication-Discrete_XINGLIGHT-XL-2012UYC_C965814.html?s_z=n_led%25200805</t>
  </si>
  <si>
    <t>https://linhkien.cxtvn.com/6701-led-0805-cac-mau.html</t>
  </si>
  <si>
    <t>NCD0805W2</t>
  </si>
  <si>
    <t>20mA 200mcd~330mcd -30℃~+85℃ White 130° 72mW 2.6V~3.6V 0805 LED Indication - Discrete ROHS</t>
  </si>
  <si>
    <t>2.6V~3.6V</t>
  </si>
  <si>
    <t>https://lcsc.com/product-detail/LED-Indication-Discrete_Foshan-NationStar-Optoelectronics-NCD0805W2_C84258.html?s_z=n_led%25200805%2520white</t>
  </si>
  <si>
    <t>https://linhkien.cxtvn.com/2902-led-0805-cac-mau.html</t>
  </si>
  <si>
    <t>XL-2012UBC</t>
  </si>
  <si>
    <t>20mA 260mcd Water Clear op View Mount 460nm~475nm Blue 120° 70mW 3.2V 0805 LED Indication - Discrete ROHS</t>
  </si>
  <si>
    <t>3.2V</t>
  </si>
  <si>
    <t>https://lcsc.com/product-detail/LED-Indication-Discrete_XINGLIGHT-XL-2012UBC_C965817.html?s_z=n_led%25200805%2520blue</t>
  </si>
  <si>
    <t>https://linhkien.cxtvn.com/1308-led-0805-cac-mau.html</t>
  </si>
  <si>
    <t>https://banlinhkiendientu.vn/led-dan-mau-tim-0805-day-10-chiec/?gad_source=1&amp;gad_campaignid=8191264750&amp;gbraid=0AAAAADlkY969mWOeIEbvJVk1DAD9XKX_Q&amp;gclid=CjwKCAjwv5zEBhBwEiwAOg2YKO-4vN7AxuXySV4Yfy946Bl1zZ0K6WAIKC_apVz9aKXcjJ5nJW9BixoC0y8QAvD_BwE</t>
  </si>
  <si>
    <t>XL-2012SURC</t>
  </si>
  <si>
    <t>20mA 230mcd Water Clear op View Mount 615nm~630nm Red 120° 2.3V 0805 LED Indication - Discrete ROHS</t>
  </si>
  <si>
    <t>https://lcsc.com/product-detail/LED-Indication-Discrete_XINGLIGHT-XL-2012SURC_C965812.html?s_z=n_led%25200805%2520purple</t>
  </si>
  <si>
    <t>Jump_6p_male</t>
  </si>
  <si>
    <t>JP6</t>
  </si>
  <si>
    <t>Jump_6p_female</t>
  </si>
  <si>
    <t>JP6H-FEMALE</t>
  </si>
  <si>
    <t>XL-2012UOC</t>
  </si>
  <si>
    <t>20mA 330mcd Water Clear 600nm~610nm op View Mount Orange 120° 50mW 2.3V 0805 LED Indication - Discrete ROHS</t>
  </si>
  <si>
    <t>https://lcsc.com/product-detail/LED-Indication-Discrete_XINGLIGHT-XL-2012UOC_C965813.html?s_z=n_led%2520orange%25200805</t>
  </si>
  <si>
    <t>LED SMD ORANGE</t>
  </si>
  <si>
    <t>LED-0805-ORANGE</t>
  </si>
  <si>
    <t>BTN_TOUCH_F10</t>
  </si>
  <si>
    <t>± 20%</t>
  </si>
  <si>
    <t>IND-SMD_HA72L-0420</t>
  </si>
  <si>
    <t>HA72L-04204R7LFTR</t>
  </si>
  <si>
    <t>MPX5500DP</t>
  </si>
  <si>
    <t>NXP Semiconductors</t>
  </si>
  <si>
    <t>Board Mount Pressure Sensors PRES SEN INTEG 500KPA</t>
  </si>
  <si>
    <t>On-board pressure sensor</t>
  </si>
  <si>
    <t>4.75V~5.25V</t>
  </si>
  <si>
    <t>2,5%</t>
  </si>
  <si>
    <t xml:space="preserve"> Unibody-6</t>
  </si>
  <si>
    <t>4.93 mm</t>
  </si>
  <si>
    <t>https://www.mouser.vn/ProductDetail/NXP-Semiconductors/MPX5500DP?qs=N2XN0KY4UWXVyfD7gX%252Bjcg%3D%3D</t>
  </si>
  <si>
    <t>https://dientutuonglai.com/cam-bien-ap-suat-mpx5500dp.html</t>
  </si>
  <si>
    <t>https://linhkien.cxtvn.com/11400-tu-0603-khong-phan-cuc.html</t>
  </si>
  <si>
    <t>25V</t>
  </si>
  <si>
    <t>CC0603KRX7R8BB104</t>
  </si>
  <si>
    <t>CAP CER 0.1UF 25V X7R 0603</t>
  </si>
  <si>
    <t>0.1uF</t>
  </si>
  <si>
    <t>https://www.digikey.com/en/products/detail/yageo/CC0603KRX7R8BB104/2103079</t>
  </si>
  <si>
    <t>https://linhkien.cxtvn.com/2353-tu-0603-khong-phan-cuc.html</t>
  </si>
  <si>
    <t>MT03B103K500SD</t>
  </si>
  <si>
    <t>Aillen</t>
  </si>
  <si>
    <t>Cap.,SMD,0603,X7R,10nF,10%,50V,A</t>
  </si>
  <si>
    <t>0.01uF</t>
  </si>
  <si>
    <t>https://www.digikey.com/en/products/detail/nextgen-components/MT03B103K500SD/18668290</t>
  </si>
  <si>
    <t>https://linhkien.cxtvn.com/4801-tu-0603-khong-phan-cuc.html</t>
  </si>
  <si>
    <t>CC0603JRNPO7BN471</t>
  </si>
  <si>
    <t>CAP CER 470PF 16V C0G/NPO 0603</t>
  </si>
  <si>
    <t>470pF</t>
  </si>
  <si>
    <t>https://www.digikey.com/en/products/detail/yageo/CC0603JRNPO7BN471/11490185</t>
  </si>
  <si>
    <t>RT0603FRE0710KL</t>
  </si>
  <si>
    <t>RES SMD 10K OHM 1% 1/10W 0603</t>
  </si>
  <si>
    <t>https://www.digikey.com/en/products/detail/yageo/RT0603FRE0710KL/1075040</t>
  </si>
  <si>
    <t>https://linhkien.cxtvn.com/3833-dien-tro-0r-0603-1-50c.html</t>
  </si>
  <si>
    <t>RC0603JR-070RL</t>
  </si>
  <si>
    <t>RES 0 OHM JUMPER 1/10W 0603</t>
  </si>
  <si>
    <t>https://www.digikey.com/en/products/detail/yageo/RC0603JR-070RL/726675</t>
  </si>
  <si>
    <t>Jump_7p_male</t>
  </si>
  <si>
    <t>Jump_7p_female</t>
  </si>
  <si>
    <t>JP7</t>
  </si>
  <si>
    <t>JP7H-MALE</t>
  </si>
  <si>
    <t>JP7H-FEMALE</t>
  </si>
  <si>
    <t>Diode TVS</t>
  </si>
  <si>
    <t>DO214AA SMBJ</t>
  </si>
  <si>
    <t>SMBJ8.0CA-HR</t>
  </si>
  <si>
    <t>Littelfuse Inc.</t>
  </si>
  <si>
    <t>TVS DIODE 8VWM 13.6VC DO214AA</t>
  </si>
  <si>
    <t>TVS Diodes</t>
  </si>
  <si>
    <t>8.89V~13.6V</t>
  </si>
  <si>
    <t>44.2A</t>
  </si>
  <si>
    <t>https://www.digikey.com/en/products/detail/littelfuse-inc/SMBJ8-0CA-HR/5235108?msockid=02994e86dd416417044958b2dc276587</t>
  </si>
  <si>
    <t>https://linhkien.cxtvn.com/11954-smbj80a-tvs-diode-8vwm-136vc-do214aa.html</t>
  </si>
  <si>
    <t>CC0603KRX5R8BB105</t>
  </si>
  <si>
    <t>CAP CER 1UF 25V X5R 0603</t>
  </si>
  <si>
    <t>1uF</t>
  </si>
  <si>
    <t>https://www.digikey.com/en/products/detail/yageo/CC0603KRX5R8BB105/2833610</t>
  </si>
  <si>
    <t>AMP_TDA7377A</t>
  </si>
  <si>
    <t>TDA7377A</t>
  </si>
  <si>
    <t>E-TDA7377</t>
  </si>
  <si>
    <t>STMicroelectronics</t>
  </si>
  <si>
    <t>Audio Amplifiers</t>
  </si>
  <si>
    <t>IC AMP AB DUAL/QUAD 15MULTIWATT</t>
  </si>
  <si>
    <t>8V ~ 18V</t>
  </si>
  <si>
    <t>35W x 2 @ 4Ohm; 10W x 4 @ 2Ohm</t>
  </si>
  <si>
    <t>https://www.digikey.com/en/products/detail/stmicroelectronics/E-TDA7377/2682964</t>
  </si>
  <si>
    <t>https://linhkien.cxtvn.com/4780-tda7377-ic-cong-suat-am-thanh-zip-15.html</t>
  </si>
  <si>
    <t>Multiwatt-15 (Vertical, Bent and Staggered Leads)</t>
  </si>
  <si>
    <t>PTD902-2015K-B503</t>
  </si>
  <si>
    <t>Bourns Inc.</t>
  </si>
  <si>
    <t>50k Ohm 2 Gang Linear Panel Mount Potentiometer 1 Turns Carbon 0.05W, 1/20W PC Pins, Board Locks</t>
  </si>
  <si>
    <t>Rotary Potentiometers, Rheostats</t>
  </si>
  <si>
    <t>0.05W, 1/20W</t>
  </si>
  <si>
    <t>15.00mm</t>
  </si>
  <si>
    <t>11.30mm x 9.50mm</t>
  </si>
  <si>
    <t>https://linhkienviet.vn/triet-ap-kep-rk097g-50k</t>
  </si>
  <si>
    <t>https://www.digikey.com/en/products/detail/bourns-inc/PTD902-2015K-B503/3781030</t>
  </si>
  <si>
    <t>POT 2 GANG</t>
  </si>
  <si>
    <t>PTN092-H50115K1A</t>
  </si>
  <si>
    <t>Same Sky (Formerly CUI Devices)</t>
  </si>
  <si>
    <t>50k Ohm 2 Gang Logarithmic Panel Mount Potentiometer 1 Turns Carbon 0.05W, 1/20W PC Pins, Board Locks</t>
  </si>
  <si>
    <t>https://www.digikey.com/en/products/detail/same-sky-formerly-cui-devices/PTN092-H50115K1A/24767692?msockid=02994e86dd416417044958b2dc276587</t>
  </si>
  <si>
    <t>https://linhkienviet.vn/tu-polyester-474-0-47uf-100v-5mm</t>
  </si>
  <si>
    <t>B32529C0474J289</t>
  </si>
  <si>
    <t>CAP FILM 0.47UF 5% 63VDC RADIAL</t>
  </si>
  <si>
    <t>Film Capacitors</t>
  </si>
  <si>
    <t>0.47uF</t>
  </si>
  <si>
    <t>63V</t>
  </si>
  <si>
    <t>7.30mm</t>
  </si>
  <si>
    <t>3.50mm</t>
  </si>
  <si>
    <t>7.30mm x 3.50mm</t>
  </si>
  <si>
    <t>https://www.digikey.com/en/products/detail/epcos-tdk-electronics/B32529C0474J289/1089840</t>
  </si>
  <si>
    <t>https://shopee.vn/product/169603007/23856495113?utm_source=coccoc.com&amp;utm_medium=cpc&amp;utm_campaign=VN_COM_SEM_SHOPPING_NB_SP|Mix|All_top_shopping_QC&amp;utm_term=489613972&amp;utm_content=23856495113&amp;ctm_event_id=4128667283</t>
  </si>
  <si>
    <t>UVR1V222MHD</t>
  </si>
  <si>
    <t>Nichicon</t>
  </si>
  <si>
    <t>CAP ALUM 2200UF 20% 35V RADIAL</t>
  </si>
  <si>
    <t>Aluminum Electrolytic Capacitors</t>
  </si>
  <si>
    <t>FILM TH S5.00mm</t>
  </si>
  <si>
    <t>2200UF</t>
  </si>
  <si>
    <t>Through Hole</t>
  </si>
  <si>
    <t>Through Hole,D16xL25mm</t>
  </si>
  <si>
    <t>Through Hole,P=5mm</t>
  </si>
  <si>
    <t>Through Hole,P=7.50mm</t>
  </si>
  <si>
    <t>25.00mm</t>
  </si>
  <si>
    <t>16.00mm</t>
  </si>
  <si>
    <t>https://www.digikey.com/en/products/detail/nichicon/UVR1V222MHD/588827</t>
  </si>
  <si>
    <t>CAP TH ALUM ELEC D16.00mm S7.50mm H25.00mm</t>
  </si>
  <si>
    <t>KH-PJ-313</t>
  </si>
  <si>
    <t>Shenzhen Kinghelm Elec</t>
  </si>
  <si>
    <t>3.5mm Headphone Jack Through Hole Audio Connectors ROHS</t>
  </si>
  <si>
    <t>Connectors/Audio Connectors</t>
  </si>
  <si>
    <t>https://lcsc.com/product-detail/Audio-Connectors_Shenzhen-Kinghelm-Elec-KH-PJ-313_C5123143.html?s_z=n_KH-PJ-313</t>
  </si>
  <si>
    <t>https://linhkienviet.vn/jack-audio-3-5mm-pj-313-5p-dip</t>
  </si>
  <si>
    <t>AUDIO-TH_KH-PJ-313</t>
  </si>
  <si>
    <t>https://linhkienviet.vn/header-kf128-2p-5-08mm-2-chan-thang</t>
  </si>
  <si>
    <t>https://lcsc.com/product-detail/Screw-Terminal-Blocks_Cixi-Kefa-Elec-KF128-5-08-2P-AA_C474952.html?s_z=n_KF128-5.08-2P-AA</t>
  </si>
  <si>
    <t>JP2</t>
  </si>
  <si>
    <t>KF-128_2P</t>
  </si>
  <si>
    <t>https://shopee.vn/T%E1%BB%A5-%C4%90i%E1%BB%87n-Nichicon-Ch%C3%ADnh-H%C3%A3ng-35V-47UF-5*11mm-(10-Chi%E1%BA%BFc)-i.264125023.40004828504?sp_atk=2a012458-0ae1-4dd7-b48f-8f64214d52ad&amp;xptdk=2a012458-0ae1-4dd7-b48f-8f64214d52ad</t>
  </si>
  <si>
    <t>UKW1V470MDD</t>
  </si>
  <si>
    <t>CAP ALUM 47UF 20% 35V RADIAL TH</t>
  </si>
  <si>
    <t>https://www.digikey.com/en/products/detail/nichicon/UKW1V470MDD/1964241</t>
  </si>
  <si>
    <t>https://shopee.vn/(10-c%C3%A1i)-T%E1%BB%A5-h%C3%B3a-Nichicon-10UF-50V-5x11mm-h%C3%A0ng-m%E1%BB%9Bi-ch%C3%ADnh-h%C3%A3ng-100-.-i.1313851681.26436627789?sp_atk=55f94db3-fa52-4ecc-b664-088b896ae86a&amp;xptdk=55f94db3-fa52-4ecc-b664-088b896ae86a</t>
  </si>
  <si>
    <t>UKL1H100KDDANA</t>
  </si>
  <si>
    <t>CAP ALUM 10UF 10% 50V RADIAL TH</t>
  </si>
  <si>
    <t>https://www.digikey.com/en/products/detail/nichicon/UKL1H100KDDANA/2428102</t>
  </si>
  <si>
    <t>UPJ1V470MED</t>
  </si>
  <si>
    <t>Through Hole,D6.3xL12mm</t>
  </si>
  <si>
    <t>12mm</t>
  </si>
  <si>
    <t>6.3mm</t>
  </si>
  <si>
    <t>https://www.digikey.com/en/products/detail/nichicon/UPJ1V470MED/2599332</t>
  </si>
  <si>
    <t>https://shopee.vn/(-10-c%C3%A1i-)-T%E1%BB%A5-h%C3%B3a-47uf-35v-6*12mm-m%E1%BB%9Bi-ch%C3%ADnh-h%C3%A3ng-Nichicon-100--i.169603007.29055731315?sp_atk=3b38bf63-c23d-45fb-a07e-7a1153add54b&amp;xptdk=3b38bf63-c23d-45fb-a07e-7a1153add54b</t>
  </si>
  <si>
    <t>CAP TH ALUM ELEC D6.30mm S2.50mm H12.00mm</t>
  </si>
  <si>
    <t>https://shopee.vn/T%E1%BB%A5-s%E1%BB%A9-v%C3%A0ng-104-100nF-0.1uF-50V-10-5.08mm-ch%E1%BA%A5t-l%C6%B0%E1%BB%A3ng-t%E1%BB%91t-(10c)-Linh-ki%E1%BB%87n-HT-i.1018903557.23674770970?sp_atk=980dfd78-bd79-49d9-acaf-0b84a868f613&amp;xptdk=980dfd78-bd79-49d9-acaf-0b84a868f613</t>
  </si>
  <si>
    <t>K104K15X7RF53H5</t>
  </si>
  <si>
    <t>Vishay Beyschlag/Draloric/BC Components</t>
  </si>
  <si>
    <t>CAP CER 0.1UF 50V X7R RADIAL</t>
  </si>
  <si>
    <t>Through Hole, P=5mm</t>
  </si>
  <si>
    <t>4.00mm</t>
  </si>
  <si>
    <t>2.60mm</t>
  </si>
  <si>
    <t>6.60mm</t>
  </si>
  <si>
    <t>4.00mm x 2.60mm</t>
  </si>
  <si>
    <t>https://www.digikey.com/en/products/detail/vishay-beyschlag-draloric-bc-components/K104K15X7RF53H5/2820505?msockid=02994e86dd416417044958b2dc276587</t>
  </si>
  <si>
    <t>JP3</t>
  </si>
  <si>
    <t>CN2-T</t>
  </si>
  <si>
    <t>YR1B10KCC</t>
  </si>
  <si>
    <t>TE Connectivity Passive Product</t>
  </si>
  <si>
    <t>RES 10K OHM 0.1% 1/4W AXIAL</t>
  </si>
  <si>
    <t>50K</t>
  </si>
  <si>
    <t>±0.1%</t>
  </si>
  <si>
    <t>0.25W, 1/4W</t>
  </si>
  <si>
    <t>2.30mm x 6.30mm</t>
  </si>
  <si>
    <t>6.30mm</t>
  </si>
  <si>
    <t>https://www.digikey.com/en/products/detail/te-connectivity-passive-product/YR1B10KCC/2389737</t>
  </si>
  <si>
    <t>https://shopee.vn/%C4%90i%E1%BB%87n-Tr%E1%BB%9F-1-4W-0-25W-%C4%90%E1%BB%99-ch%C3%ADnh-x%C3%A1c-1-10R-1M-Ohm-220%CE%A9-1K-10K-%C4%90i%E1%BB%87n-T%E1%BB%AD-HN-i.1586559340.41408654400?sp_atk=51ec1eb2-fd14-4111-9551-6208e1e42781&amp;xptdk=51ec1eb2-fd14-4111-9551-6208e1e42781</t>
  </si>
  <si>
    <t>RES-1/4W-SMALL</t>
  </si>
  <si>
    <t>MF1/4DCT52R4701F</t>
  </si>
  <si>
    <t>KOA Speer Electronics, Inc.</t>
  </si>
  <si>
    <t>RES 4.7K OHM 1% 1/4W AXIAL</t>
  </si>
  <si>
    <t>4.7K</t>
  </si>
  <si>
    <t>https://www.digikey.com/en/products/detail/koa-speer-electronics-inc/MF1-4DCT52R4701F/21680911</t>
  </si>
  <si>
    <t>https://shopee.vn/%C4%90i%E1%BB%87n-tr%E1%BB%9F-1-4w-c%C3%A1c-lo%E1%BA%A1i-10R-22R-470R-1K-2K2-3K-4K7-10K-15K-27K-47K-100K-120K-150K-200K-1M--i.1313851681.29817147101?sp_atk=4f5bd6e3-390f-4927-aa52-c0aec4727e69&amp;xptdk=4f5bd6e3-390f-4927-aa52-c0aec4727e69</t>
  </si>
  <si>
    <t>https://linhkienviet.vn/led-sieu-sang-3mm-xanh-la-trong</t>
  </si>
  <si>
    <t>151031VS06000</t>
  </si>
  <si>
    <t>LED GREEN DIFFUSED 3MM ROUND T/H</t>
  </si>
  <si>
    <t>LED Indication - Discrete</t>
  </si>
  <si>
    <t>2.2V</t>
  </si>
  <si>
    <t>5.55mm</t>
  </si>
  <si>
    <t>https://www.digikey.com/en/products/detail/w%C3%BCrth-elektronik/151031VS06000/4489988</t>
  </si>
  <si>
    <t>LED3mm</t>
  </si>
  <si>
    <t>LED 3mm</t>
  </si>
  <si>
    <t>https://linhkienviet.vn/xh2-54-3a-duc-3-chan-thang</t>
  </si>
  <si>
    <t>XYECONN XY-XH2.54-3A11</t>
  </si>
  <si>
    <t>XYECONN</t>
  </si>
  <si>
    <t>1x3P 3P 1 2.5mm 3 -25℃~+85℃ 2A Through Hole Through Hole,P=2.54mm Wire To Board Connector ROHS</t>
  </si>
  <si>
    <t>Connectors/Wire To Board Connector</t>
  </si>
  <si>
    <t>Through Hole,P=2.54mm</t>
  </si>
  <si>
    <t>https://lcsc.com/product-detail/Wire-To-Board-Connector_XYECONN-XY-XH2-54-3A11_C19271369.html?s_z=n_Xh2.54-3A</t>
  </si>
  <si>
    <t>CON_3P</t>
  </si>
  <si>
    <t>https://linhkienviet.vn/sr540-5a-40v-diode-chinh-luu</t>
  </si>
  <si>
    <t>SR540-T</t>
  </si>
  <si>
    <t>Rectron</t>
  </si>
  <si>
    <t>Schottky Diodes &amp; Rectifiers 5A 40V Schottky</t>
  </si>
  <si>
    <t>Schottky Diodes &amp; Rectifiers</t>
  </si>
  <si>
    <t>DO-201AD-2</t>
  </si>
  <si>
    <t>5A</t>
  </si>
  <si>
    <t>Diode</t>
  </si>
  <si>
    <t>https://www.mouser.vn/ProductDetail/Rectron/SR540-T?qs=UXgszm6BlbG5PPdy%252bxtHTw%3D%3D</t>
  </si>
  <si>
    <t>DIODE/POW/3A</t>
  </si>
  <si>
    <t>https://linhkienviet.vn/triet-ap-dung-rv09-10k</t>
  </si>
  <si>
    <t>11.00mm x 9.70mm</t>
  </si>
  <si>
    <t>Through Hole-3P</t>
  </si>
  <si>
    <t>Potentiometer</t>
  </si>
  <si>
    <t>PTV09A-4025S-A103</t>
  </si>
  <si>
    <t>POT 10K OHM 1/20W CARBON LOG</t>
  </si>
  <si>
    <t>https://www.digikey.com/en/products/detail/bourns-inc/PTV09A-4025S-A103/3820578</t>
  </si>
  <si>
    <t>PTV09A-4025F</t>
  </si>
  <si>
    <t>Bipolar Transistor Arrays</t>
  </si>
  <si>
    <t>IC PWR RELAY 7NPN 1:1 16SO</t>
  </si>
  <si>
    <t>16-SOIC</t>
  </si>
  <si>
    <t>ULN2003ANSR</t>
  </si>
  <si>
    <t>5.30mm</t>
  </si>
  <si>
    <t>https://linhkien.cxtvn.com/3537-uln2003-sop-16.html</t>
  </si>
  <si>
    <t>https://www.digikey.com/en/products/detail/texas-instruments/ULN2003ANSR/1912631</t>
  </si>
  <si>
    <t>ULN2003ANS SOIC-16</t>
  </si>
  <si>
    <t>Microchip Technology</t>
  </si>
  <si>
    <t>ATTINY13A-SSUR</t>
  </si>
  <si>
    <t>IC MCU 8BIT 1KB FLASH 8SOIC</t>
  </si>
  <si>
    <t>Microcontrollers</t>
  </si>
  <si>
    <t>8-SOIC</t>
  </si>
  <si>
    <t>3.90mm</t>
  </si>
  <si>
    <t>https://linhkien.cxtvn.com/6541-attiny13a-ssu-ic-mcu-8bit-1kb-flash-8soic.html</t>
  </si>
  <si>
    <t>https://www.digikey.com/en/products/detail/microchip-technology/ATTINY13A-SSUR/2522791?msockid=02994e86dd416417044958b2dc276587</t>
  </si>
  <si>
    <t>ATTINY13A-SSU SOIC-8</t>
  </si>
  <si>
    <t>L78M05CDT-TR</t>
  </si>
  <si>
    <t>IC REG LINEAR 5V 500MA DPAK</t>
  </si>
  <si>
    <t>Voltage Regulators - Linear, Low Drop Out (LDO) Regulators</t>
  </si>
  <si>
    <t>TO-252-3, DPAK</t>
  </si>
  <si>
    <t>https://linhkien.cxtvn.com/11021-l78m05cdt-tr-ic-reg-linear-5v-500ma-dpak-to-252.html</t>
  </si>
  <si>
    <t>https://www.digikey.com/en/products/detail/stmicroelectronics/L78M05CDT-TR/585727?msockid=02994e86dd416417044958b2dc276587</t>
  </si>
  <si>
    <t>RC0603FR-0710KL</t>
  </si>
  <si>
    <t>0.1W, 1/10W</t>
  </si>
  <si>
    <t>https://www.digikey.com/en/products/detail/yageo/RC0603FR-0710KL/726880</t>
  </si>
  <si>
    <t>RC0805FR-1310KP</t>
  </si>
  <si>
    <t>RES 10K OHM 1% 1/8W 0805</t>
  </si>
  <si>
    <t>0.125W, 1/8W</t>
  </si>
  <si>
    <t>https://www.digikey.com/en/products/detail/yageo/RC0805FR-1310KP/17010898</t>
  </si>
  <si>
    <t>https://linhkien.cxtvn.com/6741-dien-tro-0805-1-thong-so-tu-1k-den-91k.html</t>
  </si>
  <si>
    <t>RES-SMD-0805</t>
  </si>
  <si>
    <t>50YXJ100MT78X11.5</t>
  </si>
  <si>
    <t>CAP ALUM 100UF 20% 50V RADIAL TH</t>
  </si>
  <si>
    <t>Through Hole,D8xL11.5mm</t>
  </si>
  <si>
    <t>11.5mm</t>
  </si>
  <si>
    <t>8mm</t>
  </si>
  <si>
    <t>https://www.digikey.com/en/products/detail/rubycon/50YXJ100MT78X11-5/3134938</t>
  </si>
  <si>
    <t>https://linhkien.cxtvn.com/2738-tu-hoa-100uf-50v-8x12mm.html</t>
  </si>
  <si>
    <t>CAP TH ALUM ELEC D8.00mm S3.50mm H11.50mm</t>
  </si>
  <si>
    <t>https://linhkien.cxtvn.com/9515-dien-tro-10k-0603-1-18w-50c.html</t>
  </si>
  <si>
    <t xml:space="preserve">2.00mm </t>
  </si>
  <si>
    <t>RC0805FR-10100RL</t>
  </si>
  <si>
    <t>RES 100 OHM 1% 1/8W 0805</t>
  </si>
  <si>
    <t>https://www.digikey.com/en/products/detail/yageo/RC0805FR-10100RL/14008366</t>
  </si>
  <si>
    <t>https://linhkien.cxtvn.com/2343-dien-tro-0805-1-thong-so-tu-0r-den-910r.html</t>
  </si>
  <si>
    <t>CF14JT10K0</t>
  </si>
  <si>
    <t>Stackpole Electronics Inc</t>
  </si>
  <si>
    <t>RES 10K OHM 5% 1/4W AXIAL</t>
  </si>
  <si>
    <t>2.30mm x 6.00mm</t>
  </si>
  <si>
    <t>Axial</t>
  </si>
  <si>
    <t>6mm</t>
  </si>
  <si>
    <t>https://www.digikey.com/en/products/detail/stackpole-electronics-inc/CF14JT10K0/1741265</t>
  </si>
  <si>
    <t>https://linhkien.cxtvn.com/4060-dien-tro-vach-14w-5-dong-day-50c.html</t>
  </si>
  <si>
    <t>RES-1/4W</t>
  </si>
  <si>
    <t>SHOU HAN SH-6X6X8H-CJ</t>
  </si>
  <si>
    <t>No Without Bracket 50mA 6mm 100,000 Cycles 12V 2.5N 6mm 8mm Round Button Through Hole SPST DIP-4P,6x6mm Tactile Switches ROHS</t>
  </si>
  <si>
    <t>Switches/Tactile Switches</t>
  </si>
  <si>
    <t>DIP-4P,6x6mm</t>
  </si>
  <si>
    <t>50mA</t>
  </si>
  <si>
    <t>https://www.lcsc.com/product-detail/C42416249.html</t>
  </si>
  <si>
    <t>https://linhkien.cxtvn.com/3934-nut-nhan-6x6x43-den-6x6x24mm-dip-4p.html</t>
  </si>
  <si>
    <t>SW4</t>
  </si>
  <si>
    <t>TL2230EEF100</t>
  </si>
  <si>
    <t>E-Switch</t>
  </si>
  <si>
    <t>SWITCH PUSHBUTTON DPDT 0.1A 30V</t>
  </si>
  <si>
    <t>Pushbutton Switches</t>
  </si>
  <si>
    <t>30 V</t>
  </si>
  <si>
    <t>100mA</t>
  </si>
  <si>
    <t>https://www.digikey.com/en/products/detail/e-switch/TL2230EEF100/3778181</t>
  </si>
  <si>
    <t>https://linhkien.cxtvn.com/10824-nut-nhan-giu-58x58mm-6-chan.html</t>
  </si>
  <si>
    <t>TL2230 SW6</t>
  </si>
  <si>
    <t>SW6</t>
  </si>
  <si>
    <t>DCIN</t>
  </si>
  <si>
    <t>DC-IN</t>
  </si>
  <si>
    <t>XUNPU DC-005-A200</t>
  </si>
  <si>
    <t>XUNPU</t>
  </si>
  <si>
    <t>Right Angle DC Power Jack -20℃~+70℃ 2mm 6.4mm 3A 30V Through Hole DC Power Connectors ROHS</t>
  </si>
  <si>
    <t>Connectors/DC Power Connectors</t>
  </si>
  <si>
    <t>3A</t>
  </si>
  <si>
    <t>30V</t>
  </si>
  <si>
    <t>https://www.lcsc.com/product-detail/C720557.html</t>
  </si>
  <si>
    <t>https://linhkien.cxtvn.com/8172-jack-nguon-dc-cai-35x11mm-chan-dong.html</t>
  </si>
  <si>
    <t>Jump_5p_male</t>
  </si>
  <si>
    <t>JP5</t>
  </si>
  <si>
    <t>JP5-MALE</t>
  </si>
  <si>
    <t>JP6-MALE</t>
  </si>
  <si>
    <t>JP6H-MALE</t>
  </si>
  <si>
    <t>Footprint Ref 2</t>
  </si>
  <si>
    <t>https://linhkien.cxtvn.com/4791-jump-duc-don-254mm-thang.html</t>
  </si>
  <si>
    <t>https://linhkien.cxtvn.com/5710-jump-duc-don-254mm-thang.html</t>
  </si>
  <si>
    <t>Jump_5p_male_2.0mm</t>
  </si>
  <si>
    <t>Through Hole,P=2.0mm</t>
  </si>
  <si>
    <t>https://linhkien.cxtvn.com/11300-jump-duc-don-1x40p-20mm-chan-thang.html</t>
  </si>
  <si>
    <t>JP5_2.0mm</t>
  </si>
  <si>
    <t>https://linhkien.cxtvn.com/2656-dien-tro-1206-1-thong-so-tu-1k-den-910k.html</t>
  </si>
  <si>
    <t>RC1206FR-0710KL</t>
  </si>
  <si>
    <t>RES 10K OHM 1% 1/4W 1206</t>
  </si>
  <si>
    <t>1206</t>
  </si>
  <si>
    <t>3.10mm x 1.60mm</t>
  </si>
  <si>
    <t>3.1mm</t>
  </si>
  <si>
    <t>1.6mm</t>
  </si>
  <si>
    <t>0.65mm</t>
  </si>
  <si>
    <t>https://www.digikey.com/en/products/detail/yageo/RC1206FR-0710KL/728483</t>
  </si>
  <si>
    <t>RES-SMD-1206</t>
  </si>
  <si>
    <t>AC0805FR-131KL</t>
  </si>
  <si>
    <t>RES 1K OHM 1% 1/8W 0805</t>
  </si>
  <si>
    <t>1K</t>
  </si>
  <si>
    <t>2.0mm</t>
  </si>
  <si>
    <t>https://linhkien.cxtvn.com/2346-dien-tro-0805-1-thong-so-tu-1k-den-91k.html</t>
  </si>
  <si>
    <t>https://www.digikey.com/en/products/detail/yageo/AC0805FR-131KL/17006728</t>
  </si>
  <si>
    <t>RC1206FR-07100RL</t>
  </si>
  <si>
    <t>RES 100 OHM 1% 1/4W 1206</t>
  </si>
  <si>
    <t>https://www.digikey.com/en/products/detail/yageo/RC1206FR-07100RL/728491</t>
  </si>
  <si>
    <t>https://linhkien.cxtvn.com/4153-dien-tro-1206-1-thong-so-tu-0r-den-910r.html</t>
  </si>
  <si>
    <t>C0805C104K3RACTU</t>
  </si>
  <si>
    <t>CAP CER 0.1UF 25V X7R 0805</t>
  </si>
  <si>
    <t>100uF</t>
  </si>
  <si>
    <t> ±10%</t>
  </si>
  <si>
    <t>0.88mm</t>
  </si>
  <si>
    <t>https://www.digikey.com/en/products/detail/kemet/C0805C104K3RACTU/411167</t>
  </si>
  <si>
    <t>https://linhkien.cxtvn.com/9232-tu-khong-phan-cuc-0805.html</t>
  </si>
  <si>
    <t>RLB0812-470KL</t>
  </si>
  <si>
    <t>FIXED IND 47UH 450MA 400 MOHM TH</t>
  </si>
  <si>
    <t>Fixed Inductors</t>
  </si>
  <si>
    <t>47uH</t>
  </si>
  <si>
    <t>400mΩ</t>
  </si>
  <si>
    <t>450 mA</t>
  </si>
  <si>
    <t>Through Hole,D=6.7mm</t>
  </si>
  <si>
    <t>11.00mm</t>
  </si>
  <si>
    <t>6.70mm</t>
  </si>
  <si>
    <t>https://www.digikey.com/en/products/detail/bourns-inc/RLB0812-470KL/2561325</t>
  </si>
  <si>
    <t>https://linhkien.cxtvn.com/6720-cuon-cam-0608-6x8mm-dip-cac-gia-tri.html</t>
  </si>
  <si>
    <t>YPK0406-100M</t>
  </si>
  <si>
    <t>YJYCOIN</t>
  </si>
  <si>
    <t>1.1A 10uH I-Shaped ±20% Through Hole,5.5x8.5mm Power Inductors ROHS</t>
  </si>
  <si>
    <t>Inductors, Coils, Chokes/Power Inductors</t>
  </si>
  <si>
    <t>10uH</t>
  </si>
  <si>
    <t>230mΩ</t>
  </si>
  <si>
    <t>1.1A</t>
  </si>
  <si>
    <t>Through Hole,5.5x8.5mm</t>
  </si>
  <si>
    <t>https://www.lcsc.com/product-detail/C514867.html?s_z=n_%2520PK0406-100M</t>
  </si>
  <si>
    <t>IND_BOURNS_RLB0812</t>
  </si>
  <si>
    <t>IND-TH_YPK0406</t>
  </si>
  <si>
    <t>HT66F0021-8SOP</t>
  </si>
  <si>
    <t>SOP-8 Microcontrollers (MCU/MPU/SOC) ROHS</t>
  </si>
  <si>
    <t>SOP-8</t>
  </si>
  <si>
    <t>https://www.lcsc.com/product-detail/C5363152.html</t>
  </si>
  <si>
    <t>https://linhkien.cxtvn.com/9987-ht66f0021-ic-mcu-1k2k-flash-ad-8sop.html</t>
  </si>
  <si>
    <t>RC2512FK-0710KL</t>
  </si>
  <si>
    <t>RES 10K OHM 1% 1W 2512</t>
  </si>
  <si>
    <t>1W</t>
  </si>
  <si>
    <t>2512</t>
  </si>
  <si>
    <t>6.35mm x 3.10mm</t>
  </si>
  <si>
    <t>https://www.digikey.com/en/products/detail/yageo/RC2512FK-0710KL/5921809</t>
  </si>
  <si>
    <t>RES-SMD-2512</t>
  </si>
  <si>
    <t>https://linhkienchatluong.vn/dien-tro-dan-2512-1w/dien-tro-dan-2512-10k-1w-103-5-10c_sp839_ct14327.aspx</t>
  </si>
  <si>
    <t>EDK107M025A9LAA</t>
  </si>
  <si>
    <t>CAP ALUM 100UF 20% 25V SMD</t>
  </si>
  <si>
    <t>Radial</t>
  </si>
  <si>
    <t>8.30mm x 8.30mm</t>
  </si>
  <si>
    <t>6.50mm</t>
  </si>
  <si>
    <t>8.3mm</t>
  </si>
  <si>
    <t>https://www.digikey.com/en/products/detail/kemet/EDK107M025A9LAA/12702603?msockid=02994e86dd416417044958b2dc276587</t>
  </si>
  <si>
    <t>https://linhkien.cxtvn.com/7789-edk107m025a9laa-cap-alum-100uf-20-25v-smd-8383mm.html</t>
  </si>
  <si>
    <t>CAP SMD ALUM D8.00MM</t>
  </si>
  <si>
    <t>875105344010</t>
  </si>
  <si>
    <t>CAP ALUM POLY 100UF 20% 16V SMD</t>
  </si>
  <si>
    <t>Aluminum - Polymer Capacitors</t>
  </si>
  <si>
    <t>6.60mm x 6.60mm</t>
  </si>
  <si>
    <t>6.6mm</t>
  </si>
  <si>
    <t>5.80mm</t>
  </si>
  <si>
    <t>https://www.digikey.com/en/products/detail/w%C3%BCrth-elektronik/875105344010/5147589</t>
  </si>
  <si>
    <t>CAP SMD ALUM D6.3MM</t>
  </si>
  <si>
    <t>https://linhkien.cxtvn.com/2034-tu-nhom-100uf-16v-63x54mm.html</t>
  </si>
  <si>
    <t>74404054100</t>
  </si>
  <si>
    <t>FIXED IND 10UH 2.1A 64 MOHM SMD</t>
  </si>
  <si>
    <t>64mΩ</t>
  </si>
  <si>
    <t>2.1A</t>
  </si>
  <si>
    <t>5.00mm x 5.00mm</t>
  </si>
  <si>
    <t>5.00mm</t>
  </si>
  <si>
    <t>https://www.digikey.com/en/products/detail/w%C3%BCrth-elektronik/74404054100/4865664</t>
  </si>
  <si>
    <t>https://linhkien.cxtvn.com/6928-cuon-cam-cd43.html</t>
  </si>
  <si>
    <t>WE-LQS_5040</t>
  </si>
  <si>
    <t>5040</t>
  </si>
  <si>
    <t>RC0805JR-134K7L</t>
  </si>
  <si>
    <t>RES 4.7K OHM 5% 1/8W 0805</t>
  </si>
  <si>
    <t>0.6mm</t>
  </si>
  <si>
    <t>https://www.digikey.com/en/products/detail/yageo/RC0805JR-134K7L/13694207</t>
  </si>
  <si>
    <t>https://linhkien.cxtvn.com/2349-dien-tro-0805-1-thong-so-tu-1k-den-91k.html</t>
  </si>
  <si>
    <t>https://linhkien.cxtvn.com/2899-dien-tro-0805-1-thong-so-tu-0r-den-910r.html</t>
  </si>
  <si>
    <t>AC0805JR-130RL</t>
  </si>
  <si>
    <t>RES 0 OHM JUMPER 0805</t>
  </si>
  <si>
    <t>https://www.digikey.com/en/products/detail/yageo/RC0805JR-070RP/4935342</t>
  </si>
  <si>
    <t>DB107S</t>
  </si>
  <si>
    <t>SMC Diode Solutions</t>
  </si>
  <si>
    <t>BRIDGE RECT 1PHASE 1KV 1A DB-S</t>
  </si>
  <si>
    <t>Bridge Rectifiers</t>
  </si>
  <si>
    <t>1 kV</t>
  </si>
  <si>
    <t>4-SMD</t>
  </si>
  <si>
    <t>MOV-10D561K</t>
  </si>
  <si>
    <t>VARISTOR 560V 2.5KA DISC 10MM</t>
  </si>
  <si>
    <t>Disc 10mm</t>
  </si>
  <si>
    <t>560V</t>
  </si>
  <si>
    <t>PN8149NSC-T1</t>
  </si>
  <si>
    <t>Wuxi Chipown Micro-electronics</t>
  </si>
  <si>
    <t>650V 54kHz~66kHz 9V~24V DIP-7 AC-DC Controllers and Regulators ROHS</t>
  </si>
  <si>
    <t>Power Management (PMIC)/AC-DC Controllers and Regulators</t>
  </si>
  <si>
    <t>650V</t>
  </si>
  <si>
    <t>DIP-7</t>
  </si>
  <si>
    <t>https://www.lcsc.com/product-detail/C90826.html?s_z=n_PN8149NSC-T1</t>
  </si>
  <si>
    <t>https://shopee.vn/2-con-IC-ngu%E1%BB%93n-PN8149-8149-DIP-7-m%E1%BB%9Bi-i.61951251.20168787519</t>
  </si>
  <si>
    <t>https://www.digikey.com/en/products/detail/smc-diode-solutions/DB107S/7244777?msockid=02994e86dd416417044958b2dc276587</t>
  </si>
  <si>
    <t>https://linhkien.cxtvn.com/7004-db107s-diode-cau-1a-1000v-sop-4.html</t>
  </si>
  <si>
    <t>MOV-10D561K_BRN</t>
  </si>
  <si>
    <t>MOV</t>
  </si>
  <si>
    <t>https://www.digikey.com/en/products/detail/bourns-inc/MOV-10D561K/2407569?msockid=02994e86dd416417044958b2dc276587</t>
  </si>
  <si>
    <t>https://linhkien.cxtvn.com/8097-mov-10d681k-varistor-680v-25ka-disc-10mm.html</t>
  </si>
  <si>
    <t>PN8149NSC-T1 DIP-7</t>
  </si>
  <si>
    <t>SPT478T5A250V</t>
  </si>
  <si>
    <t>SETsafe  |  SETfuse</t>
  </si>
  <si>
    <t>35A 5A 250V Through Hole,P=5.08mm Disposable fuses ROHS</t>
  </si>
  <si>
    <t>Circuit Protection/Disposable fuses</t>
  </si>
  <si>
    <t>https://www.lcsc.com/product-detail/C42367993.html?s_z=n_T5AL%2520250V</t>
  </si>
  <si>
    <t>https://linhkien.cxtvn.com/11694-t5a-cau-chi-hop-85x4mm-5a-250v-10c.html</t>
  </si>
  <si>
    <t>FUSE-TH_L8.4-W4.1-P5.08-D0.6</t>
  </si>
  <si>
    <t>PME271MB6100MR30</t>
  </si>
  <si>
    <t>CAP FILM 0.1UF 20% 275VAC RADIAL</t>
  </si>
  <si>
    <t>275VAC</t>
  </si>
  <si>
    <t>18.50mm x 8.50mm</t>
  </si>
  <si>
    <t>18.50mm</t>
  </si>
  <si>
    <t>8.50mm</t>
  </si>
  <si>
    <t>14.30mm</t>
  </si>
  <si>
    <t>https://www.digikey.com/en/products/detail/kemet/PME271MB6100MR30/3459461?msockid=02994e86dd416417044958b2dc276587</t>
  </si>
  <si>
    <t>https://linhkien.cxtvn.com/3992-tu-loc-nguon-104j-01uf-275v-chan-10mm-10c.html</t>
  </si>
  <si>
    <t>CAP_PME271MB6100MR30_KEM</t>
  </si>
  <si>
    <t>MF72 5D9</t>
  </si>
  <si>
    <t>Nanjing Shiheng Elec</t>
  </si>
  <si>
    <t>5Ω 3A 2W 2600K ±10% ±20% Through Hole,P=7.5mm NTC Thermistors ROHS</t>
  </si>
  <si>
    <t>Sensors/NTC Thermistors</t>
  </si>
  <si>
    <t xml:space="preserve"> Through Hole,P=7.5mm</t>
  </si>
  <si>
    <t>https://www.lcsc.com/product-detail/C11277.html</t>
  </si>
  <si>
    <t>https://linhkien.cxtvn.com/11753-dien-tro-nhiet-ntc5d-9.html</t>
  </si>
  <si>
    <t>Thermistor</t>
  </si>
  <si>
    <t>MF72-010D11_CTM</t>
  </si>
  <si>
    <t>LGR2W470MELZ30</t>
  </si>
  <si>
    <t>CAP ALUM 47UF 20% 450V SNAP TH</t>
  </si>
  <si>
    <t>22.00mm</t>
  </si>
  <si>
    <t>32.00mm</t>
  </si>
  <si>
    <t>Through Hole,P=10.00mm</t>
  </si>
  <si>
    <t>https://www.digikey.com/en/products/detail/nichicon/LGR2W470MELZ30/3929874</t>
  </si>
  <si>
    <t>https://linhkienchatluong.vn/tu-hoa-co-phan-cuc/tu-hoa-450v-47uf-22x25mm-chan-cung_sp454_ct5919.aspx</t>
  </si>
  <si>
    <t>CAP TH ALUM ELEC D22.00mm S10.00mm H32.00mm</t>
  </si>
  <si>
    <t>RC1206FR-07470KL</t>
  </si>
  <si>
    <t>RES 470K OHM 1% 1/4W 1206</t>
  </si>
  <si>
    <t>470K</t>
  </si>
  <si>
    <t>https://www.digikey.com/en/products/detail/yageo/RC1206FR-07470KL/728935</t>
  </si>
  <si>
    <t>https://www.linhkienchatluong.vn/dien-tro-dan-1206-14w-1/dien-tro-dan-1206-470k-1-50c_sp838_ct8483.aspx</t>
  </si>
  <si>
    <t>RC1206FR-071R1L</t>
  </si>
  <si>
    <t>RES 1.1 OHM 1% 1/4W 1206</t>
  </si>
  <si>
    <t>1R1</t>
  </si>
  <si>
    <t>https://www.digikey.com/en/products/detail/yageo/RC1206FR-071R1L/728398</t>
  </si>
  <si>
    <t>RC1206FR-0747KL</t>
  </si>
  <si>
    <t>RES 47K OHM 1% 1/4W 1206</t>
  </si>
  <si>
    <t>47K</t>
  </si>
  <si>
    <t>https://www.digikey.com/en/products/detail/yageo/RC1206FR-0747KL/728931</t>
  </si>
  <si>
    <t>https://linhkienbandan.com/shop/dien-tro-dan-1206-47k-14w-1/</t>
  </si>
  <si>
    <t>SR2512JK-7W100RL</t>
  </si>
  <si>
    <t>RES 100 OHM 5% 2W 2512</t>
  </si>
  <si>
    <t>3.10mm</t>
  </si>
  <si>
    <t>https://www.digikey.com/en/products/detail/yageo/SR2512JK-7W100RL/9696444</t>
  </si>
  <si>
    <t>https://banlinhkien.com/tro-2512-5-10010r-1w-p6652921.html</t>
  </si>
  <si>
    <t>C1210C104KCRACTU</t>
  </si>
  <si>
    <t>CAP CER 0.1UF 500V X7R 1210</t>
  </si>
  <si>
    <t>500V</t>
  </si>
  <si>
    <t>1210</t>
  </si>
  <si>
    <t>3.20mm x 2.50mm</t>
  </si>
  <si>
    <t>3.20mm</t>
  </si>
  <si>
    <t>2.50mm</t>
  </si>
  <si>
    <t>https://www.digikey.com/en/products/detail/kemet/C1210C104KCRACTU/3084015</t>
  </si>
  <si>
    <t>RC1206FR-0710RL</t>
  </si>
  <si>
    <t>RES 10 OHM 1% 1/4W 1206</t>
  </si>
  <si>
    <t>https://www.digikey.com/en/products/detail/yageo/RC1206FR-0710RL/728482</t>
  </si>
  <si>
    <t>https://linhkien.cxtvn.com/4139-dien-tro-1206-1-thong-so-tu-0r-den-910r.html</t>
  </si>
  <si>
    <t>50YXJ10M5X11</t>
  </si>
  <si>
    <t>https://linhkien.cxtvn.com/2528-tu-hoa-5x11mm-cac-gia-tri.html</t>
  </si>
  <si>
    <t>CAP ALUM 10UF 20% 50V RADIAL TH</t>
  </si>
  <si>
    <t>Through Hole, D5xL13mm</t>
  </si>
  <si>
    <t xml:space="preserve"> 5.00mm</t>
  </si>
  <si>
    <t>13.00mm</t>
  </si>
  <si>
    <t>https://www.digikey.com/en/products/detail/rubycon/50YXJ10M5X11/3562914</t>
  </si>
  <si>
    <t>CAP TH ALUM ELEC D5.00mm S2.00mm H12.50mm</t>
  </si>
  <si>
    <t>CAP 1210_3225 - 2.5MM</t>
  </si>
  <si>
    <t>1N4007 M7</t>
  </si>
  <si>
    <t>JSMSEMI</t>
  </si>
  <si>
    <t>1A 1V@1A 1kV SMA Diodes - General Purpose ROHS</t>
  </si>
  <si>
    <t>SMA</t>
  </si>
  <si>
    <t>https://www.lcsc.com/product-detail/C20754788.html?s_z=n_1n4007</t>
  </si>
  <si>
    <t>https://linhkien.cxtvn.com/1119-1n4007-m7-diode-chinh-luu-1a-1000v.html</t>
  </si>
  <si>
    <t>SR550</t>
  </si>
  <si>
    <t>MDD(Microdiode Semiconductor)</t>
  </si>
  <si>
    <t>50V 700mV@5A 5A DO-201AD Schottky Diodes ROHS</t>
  </si>
  <si>
    <t>Diodes/Schottky Diodes</t>
  </si>
  <si>
    <t>DO-201AD</t>
  </si>
  <si>
    <t>https://www.lcsc.com/product-detail/C2994277.html</t>
  </si>
  <si>
    <t>https://shopee.vn/5-Diode-SR5150-%C4%90i-%E1%BB%91t-ch%E1%BB%89nh-l%C6%B0u-SR5150-5A-150V-i.85210545.25806473755?utm_source=coccoc.com&amp;utm_medium=cpc&amp;utm_campaign=VN_COM_SEM_STA_NB_PDPB|TopProducts&amp;utm_term=non%20branded&amp;utm_content=44970352&amp;ctm_event_id=2255185002</t>
  </si>
  <si>
    <t>Optoisolators/Transistor, Photovoltaic Output Optoisolators</t>
  </si>
  <si>
    <t>https://www.lcsc.com/product-detail/C66405.html?s_z=n_pc817</t>
  </si>
  <si>
    <t>Optoisolator</t>
  </si>
  <si>
    <t>PC817C-S</t>
  </si>
  <si>
    <t>UMW</t>
  </si>
  <si>
    <t>35V 5kV 50mA 200mV@20mA,1mA 1 6V 1.2V DC SOP-4-2.54mm Transistor, Photovoltaic Output Optoisolators ROHS</t>
  </si>
  <si>
    <t>SOP-4-2.54mm</t>
  </si>
  <si>
    <t>https://linhkien.cxtvn.com/11509-pc817c-s-ic-optoisolator-1ch-sop-4-umw.html</t>
  </si>
  <si>
    <t>SOP-4_P2.54</t>
  </si>
  <si>
    <t>CM13093CT-102</t>
  </si>
  <si>
    <t>Bourns</t>
  </si>
  <si>
    <t>Common Mode Chokes / Filters Common mode choke</t>
  </si>
  <si>
    <t xml:space="preserve"> Common Mode Chokes / Filters </t>
  </si>
  <si>
    <t>1mH</t>
  </si>
  <si>
    <t>-35%, +50%</t>
  </si>
  <si>
    <t>22 mΩ</t>
  </si>
  <si>
    <t>2.8A</t>
  </si>
  <si>
    <t>https://www.mouser.vn/ProductDetail/Bourns/CM13093CT-102?qs=Vi0JKjFBtYnemkpn6Rh%252BbQ%3D%3D</t>
  </si>
  <si>
    <t>EMI IND</t>
  </si>
  <si>
    <t>HX 2.54mm-9P ZZ-MS</t>
  </si>
  <si>
    <t>hanxia</t>
  </si>
  <si>
    <t>1x9P 9P Tin 9 -25℃~+85℃ 3A 1 2.54mm Phosphor Bronze Through Hole Through Hole,P=2.54mm Wire To Board Connector ROHS</t>
  </si>
  <si>
    <t>https://www.lcsc.com/product-detail/C41418994.html</t>
  </si>
  <si>
    <t>JP9</t>
  </si>
  <si>
    <t>CONN-TH_9P-P2.54</t>
  </si>
  <si>
    <t>https://linhkien.cxtvn.com/2492-header-duc-254-chan-thang.html</t>
  </si>
  <si>
    <t>RC1206FR-07200RL</t>
  </si>
  <si>
    <t>RES 200 OHM 1% 1/4W 1206</t>
  </si>
  <si>
    <t>https://www.digikey.com/en/products/detail/yageo/RC1206FR-07200RL/728675</t>
  </si>
  <si>
    <t>https://linhkien.cxtvn.com/3300-dien-tro-1206-5-thong-so-tu-0r-den-910r.html</t>
  </si>
  <si>
    <t>KY1102M400VAC70Y10093</t>
  </si>
  <si>
    <t>KNSCHA</t>
  </si>
  <si>
    <t>1nF ±20% Y1 400V Through Hole,P=10mm Safety Capacitors ROHS</t>
  </si>
  <si>
    <t>Capacitors/Safety Capacitors</t>
  </si>
  <si>
    <t xml:space="preserve"> 400V</t>
  </si>
  <si>
    <t>https://www.lcsc.com/product-detail/C2943996.html?s_z=n_102M%2520400V%2520Y5V</t>
  </si>
  <si>
    <t>CAP-TH-P10.00</t>
  </si>
  <si>
    <t>RC0805JR-071KL</t>
  </si>
  <si>
    <t>RES 1K OHM 5% 1/8W 0805</t>
  </si>
  <si>
    <t>https://www.digikey.com/en/products/detail/yageo/RC0805JR-071KL/728218</t>
  </si>
  <si>
    <t>AC0805FR-07330RL</t>
  </si>
  <si>
    <t>RES SMD 330 OHM 1% 1/8W 0805</t>
  </si>
  <si>
    <t>https://www.digikey.com/en/products/detail/yageo/AC0805FR-07330RL/5896770</t>
  </si>
  <si>
    <t>https://linhkien.cxtvn.com/1087-dien-tro-0805-5-thong-so-100r-den-910r.html</t>
  </si>
  <si>
    <t>CAP ALUM 470UF 20% 25V RADIAL TH</t>
  </si>
  <si>
    <t>860020474014</t>
  </si>
  <si>
    <t>Through Hole,D8xL13mm</t>
  </si>
  <si>
    <t>https://www.digikey.com/en/products/detail/w%C3%BCrth-elektronik/860020474014/5727068</t>
  </si>
  <si>
    <t>https://linhkien.cxtvn.com/2846-tu-hoa-8x12mm-cac-gia-tri.html</t>
  </si>
  <si>
    <t>CAP TH ALUM ELEC D8.00mm S3.50mm H13.00mm</t>
  </si>
  <si>
    <t>Transformer 6Pin</t>
  </si>
  <si>
    <t>744861250</t>
  </si>
  <si>
    <t>Wurth Elektronik</t>
  </si>
  <si>
    <t>Common Mode Filters / Chokes WE-TFCH Type UT 25mH 3.6Ohm .25AHztl</t>
  </si>
  <si>
    <t>Common Mode Filters / Chokes</t>
  </si>
  <si>
    <t>25mH</t>
  </si>
  <si>
    <t>-30%, +50%</t>
  </si>
  <si>
    <t>3.6Ω</t>
  </si>
  <si>
    <t>250 mA</t>
  </si>
  <si>
    <t>17 mm</t>
  </si>
  <si>
    <t>15.5 mm</t>
  </si>
  <si>
    <t>12.5 mm</t>
  </si>
  <si>
    <t>17mmx15.5mm</t>
  </si>
  <si>
    <t>https://www.mouser.vn/ProductDetail/Wurth-Elektronik/744861250?qs=sGAEpiMZZMtyFaoUegSfpj3oJvVhJvoRaV5Gn0u6gJA%3D</t>
  </si>
  <si>
    <t>Transformer 6P</t>
  </si>
  <si>
    <t>XY-VH3.96-3A11</t>
  </si>
  <si>
    <t>Through Hole,P=3.96mm</t>
  </si>
  <si>
    <t>1x3P 3P 1 3.96mm 3.96mm 3 -25℃~+85℃ 3A Through Hole Through Hole,P=3.96mm Wire To Board Connector ROHS</t>
  </si>
  <si>
    <t xml:space="preserve"> Connectors/Wire To Board Connector</t>
  </si>
  <si>
    <t xml:space="preserve"> 3A</t>
  </si>
  <si>
    <t>https://www.lcsc.com/product-detail/C19271414.html?s_z=n_3.96%25203P</t>
  </si>
  <si>
    <t>VH3.96-3A11</t>
  </si>
  <si>
    <t>https://linhkien.cxtvn.com/6795-header-duc-ch396-3p-396mm-chan-thang.html</t>
  </si>
  <si>
    <t>Diode Zener</t>
  </si>
  <si>
    <t>BZT52-C10J</t>
  </si>
  <si>
    <t>Nexperia USA Inc.</t>
  </si>
  <si>
    <t>DIODE ZENER 10V 350MW SOD123</t>
  </si>
  <si>
    <t>Single Zener Diodes</t>
  </si>
  <si>
    <t>10 V</t>
  </si>
  <si>
    <t>350 mW</t>
  </si>
  <si>
    <t>±6%</t>
  </si>
  <si>
    <t>SOD-123</t>
  </si>
  <si>
    <t>https://www.digikey.com/en/products/detail/nexperia-usa-inc/BZT52-C10J/7101449?msockid=02994e86dd416417044958b2dc276587</t>
  </si>
  <si>
    <t>https://linhkien.cxtvn.com/8728-mmsz5240bt1g-diode-zener-10v-500mw-sod123.html</t>
  </si>
  <si>
    <t>SOD123</t>
  </si>
  <si>
    <t>C2012C0G2W102J060AA</t>
  </si>
  <si>
    <t>TDK Corporation</t>
  </si>
  <si>
    <t>CAP CER 1000PF 450V C0G 0805</t>
  </si>
  <si>
    <t>0.75mm</t>
  </si>
  <si>
    <t>https://www.digikey.com/en/products/detail/tdk-corporation/C2012C0G2W102J060AA/4278032</t>
  </si>
  <si>
    <t>C2012C0G2W222J085AE</t>
  </si>
  <si>
    <t>CAP CER 2200PF 450V C0G/NP0 0805</t>
  </si>
  <si>
    <t>2.2nF</t>
  </si>
  <si>
    <t>https://www.digikey.com/en/products/detail/tdk-corporation/C2012C0G2W222J085AE/9324738</t>
  </si>
  <si>
    <t>C1206C102J5HACAUTO</t>
  </si>
  <si>
    <t>CAP CER 1206 1NF 50V ULTRA STABL</t>
  </si>
  <si>
    <t>3.20mm x 1.60mm</t>
  </si>
  <si>
    <t>https://www.digikey.com/en/products/detail/kemet/C1206C102J5HACAUTO/7961028</t>
  </si>
  <si>
    <t>CAP 1206_3216 - 0.8MM</t>
  </si>
  <si>
    <t>https://linhkien.cxtvn.com/8949-tu-khong-phan-cuc-1206.html</t>
  </si>
  <si>
    <t>C3216C0G2J102J085AA</t>
  </si>
  <si>
    <t>CAP CER 1000PF 630V C0G 1206</t>
  </si>
  <si>
    <t>630V</t>
  </si>
  <si>
    <t>https://www.digikey.com/en/products/detail/tdk-corporation/C3216C0G2J102J085AA/789736</t>
  </si>
  <si>
    <t>C3216C0G2J222J115AA</t>
  </si>
  <si>
    <t>CAP CER 2200PF 630V C0G 1206</t>
  </si>
  <si>
    <t>https://www.digikey.com/en/products/detail/tdk-corporation/C3216C0G2J222J115AA/789738</t>
  </si>
  <si>
    <t>RC1210FR-070RL</t>
  </si>
  <si>
    <t>0 Ohms Jumper 0.5W, 1/2W Chip Resistor 1210 (3225 Metric) Moisture Resistant Thick Film</t>
  </si>
  <si>
    <t>0.5W, 1/2W</t>
  </si>
  <si>
    <t>3.10mm x 2.60mm</t>
  </si>
  <si>
    <t>https://www.digikey.com/en/products/detail/yageo/RC1210FR-070RL/21619734</t>
  </si>
  <si>
    <t>RES-SMD-1210</t>
  </si>
  <si>
    <t>SS8050-G</t>
  </si>
  <si>
    <t>Comchip Technology</t>
  </si>
  <si>
    <t>1.5 A</t>
  </si>
  <si>
    <t>25 V</t>
  </si>
  <si>
    <t>SOT-23-3</t>
  </si>
  <si>
    <t>Bipolar (BJT) Transistor NPN 25 V 1.5 A 100MHz 300 mW Surface Mount SOT-23-3</t>
  </si>
  <si>
    <t>https://www.digikey.com/en/products/detail/comchip-technology/SS8050-G/6138901?s=N4IgTCBcDaIMpwBwAYCsyC0BxEBdAvkA</t>
  </si>
  <si>
    <t>NPN_SMD_SOT-23</t>
  </si>
  <si>
    <t>https://linhkien.cxtvn.com/6446-mmss8050-l-tp-transistor-npn-25v-15a-sot-23.html</t>
  </si>
  <si>
    <t>RNCP0805FTD1K00</t>
  </si>
  <si>
    <t>RES 1K OHM 1% 1/4W 0805</t>
  </si>
  <si>
    <t>https://www.digikey.com/en/products/detail/stackpole-electronics-inc/RNCP0805FTD1K00/2240229?s=N4IgTCBcDaIEoDkDCAFADADjQVgGIBUARARgGk00QBdAXyA</t>
  </si>
  <si>
    <t>CC0805KRX7R9BB104</t>
  </si>
  <si>
    <t>CAP CER 0.1UF 50V X7R 0805</t>
  </si>
  <si>
    <t>https://www.digikey.com/en/products/detail/yageo/CC0805KRX7R9BB104/302874?s=N4IgTCBcDaIMJwAwA5EFYDSAlAGgdiwE4AhYgRkQBYQBdAXyA</t>
  </si>
  <si>
    <t>https://linhkien.cxtvn.com/1976-tu-khong-phan-cuc-0805.html</t>
  </si>
  <si>
    <t>RMCF0805FT330R</t>
  </si>
  <si>
    <t>RES 330 OHM 1% 1/8W 0805</t>
  </si>
  <si>
    <t>https://www.digikey.com/en/products/detail/stackpole-electronics-inc/RMCF0805FT330R/1760484?s=N4IgTCBcDaIEoFkDCAxADADjQVhQFQGYC04QBdAXyA</t>
  </si>
  <si>
    <t>https://linhkien.cxtvn.com/2743-dien-tro-0805-1-thong-so-tu-0r-den-910r.html</t>
  </si>
  <si>
    <t>ACST410-8BTR</t>
  </si>
  <si>
    <t>TRIAC Logic - Sensitive Gate 800 V 4 A Surface Mount DPAK</t>
  </si>
  <si>
    <t>TRIACs</t>
  </si>
  <si>
    <t>800 V</t>
  </si>
  <si>
    <t>4A</t>
  </si>
  <si>
    <t>TO-252-3</t>
  </si>
  <si>
    <t>https://www.digikey.com/en/products/detail/stmicroelectronics/ACST410-8BTR/2294968?s=N4IgTCBcDaIIIGEDKAVALARgAwFoAcAQigEogC6AvkA</t>
  </si>
  <si>
    <t>TRIAC_DPAK/TO252-3</t>
  </si>
  <si>
    <t>NPN_SOT-23</t>
  </si>
  <si>
    <t>1-1318301-2</t>
  </si>
  <si>
    <t>CONN_TH_3P_P3.96</t>
  </si>
  <si>
    <t>CONN HEADER VERT 3POS 3.96MM</t>
  </si>
  <si>
    <t>TE Connectivity AMP Connectors</t>
  </si>
  <si>
    <t>Headers, Male Pins</t>
  </si>
  <si>
    <t>250VAC</t>
  </si>
  <si>
    <t>7.5A</t>
  </si>
  <si>
    <t>3.00mm</t>
  </si>
  <si>
    <t>https://www.digikey.com/en/products/detail/te-connectivity-amp-connectors/1-1318301-2/686686?msockid=02994e86dd416417044958b2dc276587</t>
  </si>
  <si>
    <t>JP3_2</t>
  </si>
  <si>
    <t>1-1318300-2</t>
  </si>
  <si>
    <t>CONN HEADER VERT 2POS 3.96MM</t>
  </si>
  <si>
    <t>https://www.digikey.com/en/products/detail/te-connectivity-amp-connectors/1-1318300-2/686676?s=N4IgTCBcDaIIwFo4GY4A5kAZMIgXQF8g</t>
  </si>
  <si>
    <t>CONN_TH_2P_P3.96</t>
  </si>
  <si>
    <t>B5P-VH</t>
  </si>
  <si>
    <t>JST Sales America Inc.</t>
  </si>
  <si>
    <t>CONN HEADER VERT 5POS 3.96MM</t>
  </si>
  <si>
    <t>https://www.digikey.com/en/products/detail/jst-sales-america-inc/B5P-VH/926550</t>
  </si>
  <si>
    <t>CONN_TH_5P_P3.96</t>
  </si>
  <si>
    <t>HONGFA</t>
  </si>
  <si>
    <t>HF32F/012-HS3</t>
  </si>
  <si>
    <t>12V 10A 1 Form A: 1A (SPST-NO) Through Hole,18.4x10.2mm Power Relays ROHS</t>
  </si>
  <si>
    <t>10A@125VAC;5A@250VAC;5A@30VDC</t>
  </si>
  <si>
    <t>450mW</t>
  </si>
  <si>
    <t>Contact Resistance</t>
  </si>
  <si>
    <t>100mΩ</t>
  </si>
  <si>
    <t>Through Hole,18.4x10.2mm</t>
  </si>
  <si>
    <t>https://www.lcsc.com/product-detail/C400942.html?s_z=n_10A%2520125VAC%252012V%2520Relays</t>
  </si>
  <si>
    <t>https://shopee.vn/product/1543525695/42653151373?gads_t_sig=VTJGc2RHVmtYMTlxTFVSVVRrdENkZmdTUmpMeSszRElEdm91eXFrOVhzNXdCSHB2OWZFazc3YWFyLzk4cDk5TlBNNDkwcGYybXZvb3p1MzAzWkloV0MzTmppbXhxWlc3ZU9SYzA2dmFESmJkeEFmMVdVK2RBZjhBL3drY242N2xIZUVRM1NSM1NUNXZWZEFLVGh5cnJBPT0&amp;gad_source=1&amp;gad_campaignid=22502562452&amp;gbraid=0AAAAADPpQE5PVKeWctgDhg6EnbLq_oufr&amp;gclid=Cj0KCQjw267GBhCSARIsAOjVJ4GjCPJMwFGv9GAoppdjS6PVQfsiFjqaY0Fcjj6QflZ9Sm5L_Sm0RLYaAuluEALw_wcB</t>
  </si>
  <si>
    <t>RELAY-TH_HF32F/012-HS3</t>
  </si>
  <si>
    <t>01 IC</t>
  </si>
  <si>
    <t>02 Resistor</t>
  </si>
  <si>
    <t>03 Capacitor</t>
  </si>
  <si>
    <t>04 Diode TVS</t>
  </si>
  <si>
    <t>05 Relay</t>
  </si>
  <si>
    <t>06 LED</t>
  </si>
  <si>
    <t>07 Thyristor</t>
  </si>
  <si>
    <t>08 Button SW</t>
  </si>
  <si>
    <t>09 Connector</t>
  </si>
  <si>
    <t>11 INDUCTOR</t>
  </si>
  <si>
    <t>12 FUSE</t>
  </si>
  <si>
    <t>13 OPTOISOLATOR</t>
  </si>
  <si>
    <t>14 TRAN FET</t>
  </si>
  <si>
    <t>15 MODULE</t>
  </si>
  <si>
    <t>16 Transformer</t>
  </si>
  <si>
    <t>10 User Interface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</si>
</sst>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7"/>
      <color rgb="FF444444"/>
      <name val="Arial"/>
      <family val="2"/>
    </font>
    <font>
      <b/>
      <sz val="11"/>
      <color theme="1"/>
      <name val="Calibri"/>
      <family val="2"/>
      <scheme val="minor"/>
    </font>
    <font>
      <b/>
      <sz val="7"/>
      <color rgb="FF222222"/>
      <name val="Arial"/>
      <family val="2"/>
    </font>
    <font>
      <sz val="8"/>
      <color theme="1"/>
      <name val="Poppins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CCCCCC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49" fontId="0" fillId="0" borderId="0" xfId="0" applyNumberFormat="1" applyAlignment="1">
      <alignment horizontal="fill"/>
    </xf>
    <xf numFmtId="10" fontId="0" fillId="0" borderId="0" xfId="0" applyNumberFormat="1"/>
    <xf numFmtId="0" fontId="3" fillId="0" borderId="0" xfId="1"/>
    <xf numFmtId="0" fontId="0" fillId="0" borderId="0" xfId="0" applyNumberFormat="1"/>
    <xf numFmtId="0" fontId="4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1" xfId="0" applyFont="1" applyBorder="1" applyAlignment="1">
      <alignment horizontal="right" vertical="center" wrapText="1"/>
    </xf>
    <xf numFmtId="0" fontId="7" fillId="0" borderId="0" xfId="0" applyFont="1"/>
    <xf numFmtId="49" fontId="0" fillId="0" borderId="0" xfId="0" quotePrefix="1" applyNumberFormat="1"/>
    <xf numFmtId="0" fontId="0" fillId="0" borderId="0" xfId="0" quotePrefix="1"/>
    <xf numFmtId="9" fontId="0" fillId="0" borderId="0" xfId="0" applyNumberFormat="1"/>
    <xf numFmtId="0" fontId="0" fillId="0" borderId="0" xfId="0" quotePrefix="1" applyNumberFormat="1"/>
    <xf numFmtId="49" fontId="8" fillId="0" borderId="0" xfId="0" applyNumberFormat="1" applyFont="1"/>
    <xf numFmtId="0" fontId="8" fillId="0" borderId="0" xfId="0" applyFont="1"/>
    <xf numFmtId="0" fontId="0" fillId="2" borderId="0" xfId="0" applyFill="1"/>
  </cellXfs>
  <cellStyles count="2">
    <cellStyle name="Hyperlink" xfId="1" builtinId="8"/>
    <cellStyle name="Normal" xfId="0" builtinId="0"/>
  </cellStyles>
  <dxfs count="9"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id="1" name="Components" displayName="Components" ref="A1:S12" totalsRowShown="0">
  <autoFilter ref="A1:S12"/>
  <tableColumns count="19">
    <tableColumn id="3" name="Part Number"/>
    <tableColumn id="2" name="Manufacturer"/>
    <tableColumn id="4" name="Description"/>
    <tableColumn id="5" name="Product Category"/>
    <tableColumn id="6" name="Value"/>
    <tableColumn id="7" name="Alt-Value"/>
    <tableColumn id="8" name="Tolerance"/>
    <tableColumn id="9" name="DC Rating"/>
    <tableColumn id="10" name="Power Rating"/>
    <tableColumn id="11" name="Package"/>
    <tableColumn id="12" name="Length"/>
    <tableColumn id="13" name="Width"/>
    <tableColumn id="14" name="Hight"/>
    <tableColumn id="15" name="Dimension [mm]"/>
    <tableColumn id="21" name="LIBRARTY MADE BY"/>
    <tableColumn id="20" name="LINK VIET NAM"/>
    <tableColumn id="19" name="LINK ORIGINAL"/>
    <tableColumn id="16" name="Library Ref"/>
    <tableColumn id="17" name="Footprint Ref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Components3" displayName="Components3" ref="A1:S42" totalsRowShown="0">
  <autoFilter ref="A1:S42"/>
  <tableColumns count="19">
    <tableColumn id="3" name="Part Number"/>
    <tableColumn id="2" name="Manufacturer"/>
    <tableColumn id="4" name="Description"/>
    <tableColumn id="5" name="Product Category"/>
    <tableColumn id="6" name="Value"/>
    <tableColumn id="7" name="Alt-Value" dataDxfId="8">
      <calculatedColumnFormula>Components3[[#This Row],[Value]]</calculatedColumnFormula>
    </tableColumn>
    <tableColumn id="8" name="Tolerance"/>
    <tableColumn id="9" name="DC Rating"/>
    <tableColumn id="10" name="Power Rating"/>
    <tableColumn id="11" name="Package" dataDxfId="7"/>
    <tableColumn id="12" name="Length"/>
    <tableColumn id="13" name="Width"/>
    <tableColumn id="14" name="Hight"/>
    <tableColumn id="15" name="Dimension [mm]"/>
    <tableColumn id="21" name="LIBRARTY MADE BY"/>
    <tableColumn id="20" name="LINK VIET NAM"/>
    <tableColumn id="19" name="LINK ORIGINAL"/>
    <tableColumn id="16" name="Library Ref"/>
    <tableColumn id="17" name="Footprint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Components4" displayName="Components4" ref="A1:S36" totalsRowShown="0">
  <autoFilter ref="A1:S36"/>
  <tableColumns count="19">
    <tableColumn id="3" name="Part Number"/>
    <tableColumn id="2" name="Manufacturer"/>
    <tableColumn id="4" name="Description"/>
    <tableColumn id="5" name="Product Category"/>
    <tableColumn id="6" name="Value"/>
    <tableColumn id="7" name="Alt-Value" dataDxfId="6">
      <calculatedColumnFormula>Components4[[#This Row],[Value]]</calculatedColumnFormula>
    </tableColumn>
    <tableColumn id="8" name="Tolerance"/>
    <tableColumn id="9" name="DC Rating"/>
    <tableColumn id="10" name="Power Rating"/>
    <tableColumn id="11" name="Package" dataDxfId="5"/>
    <tableColumn id="12" name="Length"/>
    <tableColumn id="13" name="Width"/>
    <tableColumn id="14" name="Hight"/>
    <tableColumn id="15" name="Dimension [mm]"/>
    <tableColumn id="21" name="LIBRARTY MADE BY"/>
    <tableColumn id="20" name="LINK VIET NAM"/>
    <tableColumn id="19" name="LINK ORIGINAL"/>
    <tableColumn id="16" name="Library Ref"/>
    <tableColumn id="17" name="Footprint Ref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Components5" displayName="Components5" ref="A1:S10" totalsRowShown="0">
  <autoFilter ref="A1:S10"/>
  <tableColumns count="19">
    <tableColumn id="3" name="Part Number"/>
    <tableColumn id="2" name="Manufacturer"/>
    <tableColumn id="4" name="Description"/>
    <tableColumn id="5" name="Product Category"/>
    <tableColumn id="6" name="Value"/>
    <tableColumn id="7" name="Alt-Value"/>
    <tableColumn id="8" name="Tolerance"/>
    <tableColumn id="9" name="DC Rating"/>
    <tableColumn id="10" name="Power Rating"/>
    <tableColumn id="11" name="Package"/>
    <tableColumn id="12" name="Length"/>
    <tableColumn id="13" name="Width"/>
    <tableColumn id="14" name="Hight"/>
    <tableColumn id="15" name="Dimension [mm]"/>
    <tableColumn id="21" name="LIBRARTY MADE BY"/>
    <tableColumn id="20" name="LINK VIET NAM"/>
    <tableColumn id="19" name="LINK ORIGINAL"/>
    <tableColumn id="16" name="Library Ref"/>
    <tableColumn id="17" name="Footprint Ref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omponents6" displayName="Components6" ref="A1:T4" totalsRowShown="0">
  <autoFilter ref="A1:T4"/>
  <tableColumns count="20">
    <tableColumn id="3" name="Part Number"/>
    <tableColumn id="2" name="Manufacturer"/>
    <tableColumn id="4" name="Description"/>
    <tableColumn id="5" name="Product Category"/>
    <tableColumn id="6" name="Value"/>
    <tableColumn id="7" name="Alt-Value"/>
    <tableColumn id="8" name="Tolerance"/>
    <tableColumn id="9" name="DC Rating"/>
    <tableColumn id="10" name="Power Rating"/>
    <tableColumn id="1" name="Contact Resistance"/>
    <tableColumn id="11" name="Package"/>
    <tableColumn id="12" name="Length"/>
    <tableColumn id="13" name="Width"/>
    <tableColumn id="14" name="Hight"/>
    <tableColumn id="15" name="Dimension [mm]"/>
    <tableColumn id="21" name="LIBRARTY MADE BY"/>
    <tableColumn id="20" name="LINK VIET NAM"/>
    <tableColumn id="19" name="LINK ORIGINAL"/>
    <tableColumn id="16" name="Library Ref"/>
    <tableColumn id="17" name="Footprint Re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Components7" displayName="Components7" ref="A1:S11" totalsRowShown="0">
  <autoFilter ref="A1:S11"/>
  <tableColumns count="19">
    <tableColumn id="3" name="Part Number"/>
    <tableColumn id="2" name="Manufacturer"/>
    <tableColumn id="4" name="Description"/>
    <tableColumn id="5" name="Product Category"/>
    <tableColumn id="6" name="Value"/>
    <tableColumn id="7" name="Alt-Value"/>
    <tableColumn id="8" name="Tolerance"/>
    <tableColumn id="9" name="DC Rating"/>
    <tableColumn id="10" name="Power Rating"/>
    <tableColumn id="11" name="Package" dataDxfId="4"/>
    <tableColumn id="12" name="Length"/>
    <tableColumn id="13" name="Width"/>
    <tableColumn id="14" name="Hight"/>
    <tableColumn id="15" name="Dimension [mm]"/>
    <tableColumn id="21" name="LIBRARTY MADE BY"/>
    <tableColumn id="20" name="LINK VIET NAM"/>
    <tableColumn id="19" name="LINK ORIGINAL"/>
    <tableColumn id="16" name="Library Ref"/>
    <tableColumn id="17" name="Footprint Ref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Components8" displayName="Components8" ref="A1:S3" totalsRowShown="0">
  <autoFilter ref="A1:S3"/>
  <tableColumns count="19">
    <tableColumn id="3" name="Part Number"/>
    <tableColumn id="2" name="Manufacturer"/>
    <tableColumn id="4" name="Description"/>
    <tableColumn id="5" name="Product Category"/>
    <tableColumn id="6" name="Value"/>
    <tableColumn id="7" name="Alt-Value"/>
    <tableColumn id="8" name="Tolerance"/>
    <tableColumn id="9" name="DC Rating"/>
    <tableColumn id="10" name="Power Rating"/>
    <tableColumn id="11" name="Package"/>
    <tableColumn id="12" name="Length"/>
    <tableColumn id="13" name="Width"/>
    <tableColumn id="14" name="Hight"/>
    <tableColumn id="15" name="Dimension [mm]"/>
    <tableColumn id="21" name="LIBRARTY MADE BY"/>
    <tableColumn id="20" name="LINK VIET NAM"/>
    <tableColumn id="19" name="LINK ORIGINAL"/>
    <tableColumn id="16" name="Library Ref"/>
    <tableColumn id="17" name="Footprint Ref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Components9" displayName="Components9" ref="A1:S4" totalsRowShown="0">
  <autoFilter ref="A1:S4"/>
  <tableColumns count="19">
    <tableColumn id="3" name="Part Number"/>
    <tableColumn id="2" name="Manufacturer"/>
    <tableColumn id="4" name="Description"/>
    <tableColumn id="5" name="Product Category"/>
    <tableColumn id="6" name="Value"/>
    <tableColumn id="7" name="Alt-Value"/>
    <tableColumn id="8" name="Tolerance"/>
    <tableColumn id="9" name="DC Rating"/>
    <tableColumn id="10" name="Power Rating"/>
    <tableColumn id="11" name="Package"/>
    <tableColumn id="12" name="Length"/>
    <tableColumn id="13" name="Width"/>
    <tableColumn id="14" name="Hight"/>
    <tableColumn id="15" name="Dimension [mm]"/>
    <tableColumn id="21" name="LIBRARTY MADE BY"/>
    <tableColumn id="20" name="LINK VIET NAM"/>
    <tableColumn id="19" name="LINK ORIGINAL"/>
    <tableColumn id="16" name="Library Ref"/>
    <tableColumn id="17" name="Footprint Re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Components912" displayName="Components912" ref="A1:T20" totalsRowShown="0">
  <autoFilter ref="A1:T20"/>
  <tableColumns count="20">
    <tableColumn id="3" name="Part Number"/>
    <tableColumn id="2" name="Manufacturer"/>
    <tableColumn id="4" name="Description"/>
    <tableColumn id="5" name="Product Category"/>
    <tableColumn id="6" name="Value"/>
    <tableColumn id="7" name="Alt-Value" dataDxfId="3">
      <calculatedColumnFormula>Components912[[#This Row],[Value]]</calculatedColumnFormula>
    </tableColumn>
    <tableColumn id="8" name="Tolerance"/>
    <tableColumn id="9" name="DC Rating"/>
    <tableColumn id="10" name="Power Rating"/>
    <tableColumn id="11" name="Package"/>
    <tableColumn id="12" name="Length"/>
    <tableColumn id="13" name="Width"/>
    <tableColumn id="14" name="Hight"/>
    <tableColumn id="15" name="Dimension [mm]"/>
    <tableColumn id="21" name="LIBRARTY MADE BY"/>
    <tableColumn id="20" name="LINK VIET NAM"/>
    <tableColumn id="19" name="LINK ORIGINAL"/>
    <tableColumn id="16" name="Library Ref"/>
    <tableColumn id="17" name="Footprint Ref"/>
    <tableColumn id="1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Components913" displayName="Components913" ref="A1:S2" totalsRowShown="0">
  <autoFilter ref="A1:S2"/>
  <tableColumns count="19">
    <tableColumn id="3" name="Part Number"/>
    <tableColumn id="2" name="Manufacturer"/>
    <tableColumn id="4" name="Description"/>
    <tableColumn id="5" name="Product Category" dataDxfId="2"/>
    <tableColumn id="6" name="Value"/>
    <tableColumn id="7" name="Alt-Value"/>
    <tableColumn id="8" name="Tolerance"/>
    <tableColumn id="9" name="DC Rating"/>
    <tableColumn id="10" name="Power Rating"/>
    <tableColumn id="11" name="Package"/>
    <tableColumn id="12" name="Length"/>
    <tableColumn id="13" name="Width"/>
    <tableColumn id="14" name="Hight"/>
    <tableColumn id="15" name="Dimension [mm]"/>
    <tableColumn id="21" name="LIBRARTY MADE BY"/>
    <tableColumn id="20" name="LINK VIET NAM"/>
    <tableColumn id="19" name="LINK ORIGINAL"/>
    <tableColumn id="16" name="Library Ref"/>
    <tableColumn id="17" name="Footprint Ref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3" name="Components91314" displayName="Components91314" ref="A1:T10" totalsRowShown="0">
  <autoFilter ref="A1:T10"/>
  <tableColumns count="20">
    <tableColumn id="3" name="Part Number"/>
    <tableColumn id="2" name="Manufacturer"/>
    <tableColumn id="4" name="Description"/>
    <tableColumn id="5" name="Product Category"/>
    <tableColumn id="6" name="Value"/>
    <tableColumn id="7" name="Alt-Value">
      <calculatedColumnFormula>Components91314[Value]</calculatedColumnFormula>
    </tableColumn>
    <tableColumn id="8" name="Tolerance"/>
    <tableColumn id="9" name="DC Rating"/>
    <tableColumn id="1" name="DC Resistance"/>
    <tableColumn id="10" name="Power Rating"/>
    <tableColumn id="11" name="Package" dataDxfId="1"/>
    <tableColumn id="12" name="Length"/>
    <tableColumn id="13" name="Width"/>
    <tableColumn id="14" name="Hight"/>
    <tableColumn id="15" name="Dimension [mm]"/>
    <tableColumn id="21" name="LIBRARTY MADE BY"/>
    <tableColumn id="20" name="LINK VIET NAM" dataCellStyle="Hyperlink"/>
    <tableColumn id="19" name="LINK ORIGINAL"/>
    <tableColumn id="16" name="Library Ref"/>
    <tableColumn id="17" name="Footprint Ref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4" name="Components9131415" displayName="Components9131415" ref="A1:S4" totalsRowShown="0">
  <autoFilter ref="A1:S4"/>
  <tableColumns count="19">
    <tableColumn id="3" name="Part Number"/>
    <tableColumn id="2" name="Manufacturer"/>
    <tableColumn id="4" name="Description"/>
    <tableColumn id="5" name="Product Category"/>
    <tableColumn id="6" name="Value"/>
    <tableColumn id="7" name="Alt-Value">
      <calculatedColumnFormula>Components9131415[Value]</calculatedColumnFormula>
    </tableColumn>
    <tableColumn id="8" name="Tolerance"/>
    <tableColumn id="9" name="DC Rating"/>
    <tableColumn id="10" name="Power Rating"/>
    <tableColumn id="11" name="Package" dataDxfId="0"/>
    <tableColumn id="12" name="Length"/>
    <tableColumn id="13" name="Width"/>
    <tableColumn id="14" name="Hight"/>
    <tableColumn id="15" name="Dimension [mm]"/>
    <tableColumn id="21" name="LIBRARTY MADE BY"/>
    <tableColumn id="20" name="LINK VIET NAM" dataCellStyle="Hyperlink"/>
    <tableColumn id="19" name="LINK ORIGINAL"/>
    <tableColumn id="16" name="Library Ref"/>
    <tableColumn id="17" name="Footprint Ref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9" name="Components913141510" displayName="Components913141510" ref="A1:S3" totalsRowShown="0">
  <autoFilter ref="A1:S3"/>
  <tableColumns count="19">
    <tableColumn id="3" name="Part Number"/>
    <tableColumn id="2" name="Manufacturer"/>
    <tableColumn id="4" name="Description"/>
    <tableColumn id="5" name="Product Category"/>
    <tableColumn id="6" name="Value"/>
    <tableColumn id="7" name="Alt-Value"/>
    <tableColumn id="8" name="Tolerance"/>
    <tableColumn id="9" name="DC Rating"/>
    <tableColumn id="10" name="Power Rating"/>
    <tableColumn id="11" name="Package"/>
    <tableColumn id="12" name="Length"/>
    <tableColumn id="13" name="Width"/>
    <tableColumn id="14" name="Hight"/>
    <tableColumn id="15" name="Dimension [mm]"/>
    <tableColumn id="21" name="LIBRARTY MADE BY"/>
    <tableColumn id="20" name="LINK VIET NAM" dataCellStyle="Hyperlink"/>
    <tableColumn id="19" name="LINK ORIGINAL"/>
    <tableColumn id="16" name="Library Ref"/>
    <tableColumn id="17" name="Footprint Ref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0" name="Components91314151011" displayName="Components91314151011" ref="A1:S4" totalsRowShown="0">
  <autoFilter ref="A1:S4"/>
  <tableColumns count="19">
    <tableColumn id="3" name="Part Number"/>
    <tableColumn id="2" name="Manufacturer"/>
    <tableColumn id="4" name="Description"/>
    <tableColumn id="5" name="Product Category"/>
    <tableColumn id="6" name="Value"/>
    <tableColumn id="7" name="Alt-Value"/>
    <tableColumn id="8" name="Tolerance"/>
    <tableColumn id="9" name="DC Rating"/>
    <tableColumn id="10" name="Power Rating"/>
    <tableColumn id="11" name="Package"/>
    <tableColumn id="12" name="Length"/>
    <tableColumn id="13" name="Width"/>
    <tableColumn id="14" name="Hight"/>
    <tableColumn id="15" name="Dimension [mm]"/>
    <tableColumn id="21" name="LIBRARTY MADE BY"/>
    <tableColumn id="20" name="LINK VIET NAM" dataCellStyle="Hyperlink"/>
    <tableColumn id="19" name="LINK ORIGINAL"/>
    <tableColumn id="16" name="Library Ref"/>
    <tableColumn id="17" name="Footprint Ref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Components9131415101116" displayName="Components9131415101116" ref="A1:S3" totalsRowShown="0">
  <autoFilter ref="A1:S3"/>
  <tableColumns count="19">
    <tableColumn id="3" name="Part Number"/>
    <tableColumn id="2" name="Manufacturer"/>
    <tableColumn id="4" name="Description"/>
    <tableColumn id="5" name="Product Category"/>
    <tableColumn id="6" name="Value"/>
    <tableColumn id="7" name="Alt-Value"/>
    <tableColumn id="8" name="Tolerance"/>
    <tableColumn id="9" name="DC Rating"/>
    <tableColumn id="10" name="Power Rating"/>
    <tableColumn id="11" name="Package"/>
    <tableColumn id="12" name="Length"/>
    <tableColumn id="13" name="Width"/>
    <tableColumn id="14" name="Hight"/>
    <tableColumn id="15" name="Dimension [mm]"/>
    <tableColumn id="21" name="LIBRARTY MADE BY"/>
    <tableColumn id="20" name="LINK VIET NAM" dataCellStyle="Hyperlink"/>
    <tableColumn id="19" name="LINK ORIGINAL"/>
    <tableColumn id="16" name="Library Ref"/>
    <tableColumn id="17" name="Footprint Ref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Components913141510111617" displayName="Components913141510111617" ref="A1:S3" totalsRowShown="0">
  <autoFilter ref="A1:S3"/>
  <tableColumns count="19">
    <tableColumn id="3" name="Part Number"/>
    <tableColumn id="2" name="Manufacturer"/>
    <tableColumn id="4" name="Description"/>
    <tableColumn id="5" name="Product Category"/>
    <tableColumn id="6" name="Value"/>
    <tableColumn id="7" name="Alt-Value"/>
    <tableColumn id="8" name="Tolerance"/>
    <tableColumn id="9" name="DC Rating"/>
    <tableColumn id="10" name="Power Rating"/>
    <tableColumn id="11" name="Package"/>
    <tableColumn id="12" name="Length"/>
    <tableColumn id="13" name="Width"/>
    <tableColumn id="14" name="Hight"/>
    <tableColumn id="15" name="Dimension [mm]"/>
    <tableColumn id="21" name="LIBRARTY MADE BY"/>
    <tableColumn id="20" name="LINK VIET NAM" dataCellStyle="Hyperlink"/>
    <tableColumn id="19" name="LINK ORIGINAL"/>
    <tableColumn id="16" name="Library Ref"/>
    <tableColumn id="17" name="Footprint R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digikey.com/en/products/filter/power-management-pmic/voltage-regulators-linear-low-drop-out-ldo-regulators/699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digikey.com/en/products/filter/power-management-pmic/voltage-regulators-dc-dc-switching-regulators/739" TargetMode="External"/><Relationship Id="rId7" Type="http://schemas.openxmlformats.org/officeDocument/2006/relationships/hyperlink" Target="https://www.digikey.com/en/products/filter/embedded/microcontrollers/685" TargetMode="External"/><Relationship Id="rId12" Type="http://schemas.openxmlformats.org/officeDocument/2006/relationships/hyperlink" Target="https://www.lcsc.com/category/483.html" TargetMode="External"/><Relationship Id="rId2" Type="http://schemas.openxmlformats.org/officeDocument/2006/relationships/hyperlink" Target="https://lcsc.com/products/LED-Drivers_583.html" TargetMode="External"/><Relationship Id="rId1" Type="http://schemas.openxmlformats.org/officeDocument/2006/relationships/hyperlink" Target="https://lcsc.com/products/Microcontrollers-MCU-MPU-SOC_11329.html" TargetMode="External"/><Relationship Id="rId6" Type="http://schemas.openxmlformats.org/officeDocument/2006/relationships/hyperlink" Target="https://www.digikey.com/en/products/filter/transistors/bipolar-bjt/bipolar-transistor-arrays/277" TargetMode="External"/><Relationship Id="rId11" Type="http://schemas.openxmlformats.org/officeDocument/2006/relationships/hyperlink" Target="https://linhkien.cxtvn.com/9987-ht66f0021-ic-mcu-1k2k-flash-ad-8sop.html" TargetMode="External"/><Relationship Id="rId5" Type="http://schemas.openxmlformats.org/officeDocument/2006/relationships/hyperlink" Target="https://www.digikey.com/en/products/filter/linear/amplifiers/audio-amplifiers/742" TargetMode="External"/><Relationship Id="rId10" Type="http://schemas.openxmlformats.org/officeDocument/2006/relationships/hyperlink" Target="https://www.lcsc.com/category/11329.html" TargetMode="External"/><Relationship Id="rId4" Type="http://schemas.openxmlformats.org/officeDocument/2006/relationships/hyperlink" Target="https://www.digikey.co.uk/en/products/filter/ac-dc-converters/923" TargetMode="External"/><Relationship Id="rId9" Type="http://schemas.openxmlformats.org/officeDocument/2006/relationships/hyperlink" Target="https://www.digikey.com/en/products/filter/power-management-pmic/voltage-regulators-linear-low-drop-out-ldo-regulators/500ma/699?s=N4IgjCBcpgTAnFUBjKAzAhgGwM4FMAaEANwDsoAXAJwFdCQB7KAbRFgGYA2AdnYBYQAXSIAHClBABlagEtSAcxABfFUA" TargetMode="External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digikey.com/en/products/filter/chip-resistor-surface-mount/1/52?s=N4IgjCBcoMxaBjKAzAhgGwM4FMA0IA3AOygBcAnAVzxAHsoBtcMGCAXXwAdSoQBlCgEsiAcxABfSUA" TargetMode="External"/><Relationship Id="rId21" Type="http://schemas.openxmlformats.org/officeDocument/2006/relationships/hyperlink" Target="https://www.digikey.com/en/products/filter/chip-resistor-surface-mount/52" TargetMode="External"/><Relationship Id="rId42" Type="http://schemas.openxmlformats.org/officeDocument/2006/relationships/hyperlink" Target="https://www.digikey.com/en/products/filter/chip-resistor-surface-mount/0-25w-1-4w/52?s=N4IgjCBcoExaBjKAzAhgGwM4FMA0IA3AOygBcAnAVzxAHsoBtcANgFYAWAZhAF18AHUlBABlCgEsiAcxABfeUA" TargetMode="External"/><Relationship Id="rId47" Type="http://schemas.openxmlformats.org/officeDocument/2006/relationships/hyperlink" Target="https://www.digikey.com/en/products/filter/chip-resistor-surface-mount/0-125w-1-8w/52?s=N4IgjCBcoExaBjKAzAhgGwM4FMA0IA3AOygBcAnAVzxAHsoBtcABgA4B2AThAF18AHUlBABlCgEsiAcxABfeUA" TargetMode="External"/><Relationship Id="rId63" Type="http://schemas.openxmlformats.org/officeDocument/2006/relationships/hyperlink" Target="https://www.digikey.com/en/products/filter/chip-resistor-surface-mount/0-25w-1-4w/52?s=N4IgjCBcoExaBjKAzAhgGwM4FMA0IA3AOygBcAnAVzxAHsoBtcANgFYAWAZhAF18AHUlBABlCgEsiAcxABfeUA" TargetMode="External"/><Relationship Id="rId68" Type="http://schemas.openxmlformats.org/officeDocument/2006/relationships/hyperlink" Target="https://www.digikey.com/en/products/filter/chip-resistor-surface-mount/1/52?s=N4IgjCBcoMxaBjKAzAhgGwM4FMA0IA3AOygBcAnAVzxAHsoBtcMGCAXXwAdSoQBlCgEsiAcxABfSUA" TargetMode="External"/><Relationship Id="rId84" Type="http://schemas.openxmlformats.org/officeDocument/2006/relationships/printerSettings" Target="../printerSettings/printerSettings2.bin"/><Relationship Id="rId16" Type="http://schemas.openxmlformats.org/officeDocument/2006/relationships/hyperlink" Target="https://linhkienviet.vn/triet-ap-kep-rk097g-50k" TargetMode="External"/><Relationship Id="rId11" Type="http://schemas.openxmlformats.org/officeDocument/2006/relationships/hyperlink" Target="https://www.digikey.com/en/products/filter/chip-resistor-surface-mount/52" TargetMode="External"/><Relationship Id="rId32" Type="http://schemas.openxmlformats.org/officeDocument/2006/relationships/hyperlink" Target="https://www.digikey.com/en/products/filter/through-hole-resistors/5/53?s=N4IgjCBcoMxaBjKAzAhgGwM4FMA0IA3AOygBcAnAVzxAHsoBtEAJgFYAGOAXXwAdSoIAMoUAlkQDmIAL6ygA" TargetMode="External"/><Relationship Id="rId37" Type="http://schemas.openxmlformats.org/officeDocument/2006/relationships/hyperlink" Target="https://www.digikey.com/en/products/filter/chip-resistor-surface-mount/52" TargetMode="External"/><Relationship Id="rId53" Type="http://schemas.openxmlformats.org/officeDocument/2006/relationships/hyperlink" Target="https://www.lcsc.com/product-detail/C11277.html" TargetMode="External"/><Relationship Id="rId58" Type="http://schemas.openxmlformats.org/officeDocument/2006/relationships/hyperlink" Target="https://www.digikey.com/en/products/filter/chip-resistor-surface-mount/52" TargetMode="External"/><Relationship Id="rId74" Type="http://schemas.openxmlformats.org/officeDocument/2006/relationships/hyperlink" Target="https://www.digikey.com/en/products/detail/yageo/RC0805JR-071KL/728218" TargetMode="External"/><Relationship Id="rId79" Type="http://schemas.openxmlformats.org/officeDocument/2006/relationships/hyperlink" Target="https://www.digikey.com/en/products/detail/yageo/RC1210FR-070RL/21619734" TargetMode="External"/><Relationship Id="rId5" Type="http://schemas.openxmlformats.org/officeDocument/2006/relationships/hyperlink" Target="https://www.digikey.com/en/products/filter/chip-resistor-surface-mount/0-1w-1-10w/52?s=N4IgjCBcoExaBjKAzAhgGwM4FMA0IA3AOygBcAnAVzxAHsoBtcAFgAYA2ZkAXXwAdSUEAGUKASyIBzEAF85QA" TargetMode="External"/><Relationship Id="rId19" Type="http://schemas.openxmlformats.org/officeDocument/2006/relationships/hyperlink" Target="https://www.digikey.com/en/products/filter/through-hole-resistors/53" TargetMode="External"/><Relationship Id="rId14" Type="http://schemas.openxmlformats.org/officeDocument/2006/relationships/hyperlink" Target="https://www.digikey.com/en/products/filter/rotary-potentiometers-rheostats/84" TargetMode="External"/><Relationship Id="rId22" Type="http://schemas.openxmlformats.org/officeDocument/2006/relationships/hyperlink" Target="https://www.digikey.com/en/products/filter/chip-resistor-surface-mount/1/52?s=N4IgjCBcoMxaBjKAzAhgGwM4FMA0IA3AOygBcAnAVzxAHsoBtcMGCAXXwAdSoQBlCgEsiAcxABfSUA" TargetMode="External"/><Relationship Id="rId27" Type="http://schemas.openxmlformats.org/officeDocument/2006/relationships/hyperlink" Target="https://www.digikey.com/en/products/filter/chip-resistor-surface-mount/0-1w-1-10w/52?s=N4IgjCBcoExaBjKAzAhgGwM4FMA0IA3AOygBcAnAVzxAHsoBtcAFgAYA2ZkAXXwAdSUEAGUKASyIBzEAF85QA" TargetMode="External"/><Relationship Id="rId30" Type="http://schemas.openxmlformats.org/officeDocument/2006/relationships/hyperlink" Target="https://www.digikey.com/en/products/filter/chip-resistor-surface-mount/0-1w-1-10w/52?s=N4IgjCBcoExaBjKAzAhgGwM4FMA0IA3AOygBcAnAVzxAHsoBtcAFgAYA2ZkAXXwAdSUEAGUKASyIBzEAF85QA" TargetMode="External"/><Relationship Id="rId35" Type="http://schemas.openxmlformats.org/officeDocument/2006/relationships/hyperlink" Target="https://www.digikey.com/en/products/filter/chip-resistor-surface-mount/52" TargetMode="External"/><Relationship Id="rId43" Type="http://schemas.openxmlformats.org/officeDocument/2006/relationships/hyperlink" Target="https://www.digikey.com/en/products/filter/chip-resistor-surface-mount/52" TargetMode="External"/><Relationship Id="rId48" Type="http://schemas.openxmlformats.org/officeDocument/2006/relationships/hyperlink" Target="https://www.digikey.com/en/products/filter/chip-resistor-surface-mount/52" TargetMode="External"/><Relationship Id="rId56" Type="http://schemas.openxmlformats.org/officeDocument/2006/relationships/hyperlink" Target="https://www.digikey.com/en/products/filter/chip-resistor-surface-mount/1/52?s=N4IgjCBcoMxaBjKAzAhgGwM4FMA0IA3AOygBcAnAVzxAHsoBtcMGCAXXwAdSoQBlCgEsiAcxABfSUA" TargetMode="External"/><Relationship Id="rId64" Type="http://schemas.openxmlformats.org/officeDocument/2006/relationships/hyperlink" Target="https://linhkienbandan.com/shop/dien-tro-dan-1206-47k-14w-1/" TargetMode="External"/><Relationship Id="rId69" Type="http://schemas.openxmlformats.org/officeDocument/2006/relationships/hyperlink" Target="https://www.digikey.com/en/products/detail/yageo/RC1206FR-0710RL/728482" TargetMode="External"/><Relationship Id="rId77" Type="http://schemas.openxmlformats.org/officeDocument/2006/relationships/hyperlink" Target="https://linhkien.cxtvn.com/1087-dien-tro-0805-5-thong-so-100r-den-910r.html" TargetMode="External"/><Relationship Id="rId8" Type="http://schemas.openxmlformats.org/officeDocument/2006/relationships/hyperlink" Target="https://www.digikey.com/en/products/filter/chip-resistor-surface-mount/52" TargetMode="External"/><Relationship Id="rId51" Type="http://schemas.openxmlformats.org/officeDocument/2006/relationships/hyperlink" Target="https://www.digikey.com/en/products/filter/varistors-movs/141" TargetMode="External"/><Relationship Id="rId72" Type="http://schemas.openxmlformats.org/officeDocument/2006/relationships/hyperlink" Target="https://www.digikey.com/en/products/detail/yageo/RC1206FR-07200RL/728675" TargetMode="External"/><Relationship Id="rId80" Type="http://schemas.openxmlformats.org/officeDocument/2006/relationships/hyperlink" Target="https://www.digikey.com/en/products/detail/stackpole-electronics-inc/RNCP0805FTD1K00/2240229?s=N4IgTCBcDaIEoDkDCAFADADjQVgGIBUARARgGk00QBdAXyA" TargetMode="External"/><Relationship Id="rId85" Type="http://schemas.openxmlformats.org/officeDocument/2006/relationships/table" Target="../tables/table2.xml"/><Relationship Id="rId3" Type="http://schemas.openxmlformats.org/officeDocument/2006/relationships/hyperlink" Target="https://www.digikey.com/en/products/filter/chip-resistor-surface-mount/0-1w-1-10w/52?s=N4IgjCBcoExaBjKAzAhgGwM4FMA0IA3AOygBcAnAVzxAHsoBtcAFgAYA2ZkAXXwAdSUEAGUKASyIBzEAF85QA" TargetMode="External"/><Relationship Id="rId12" Type="http://schemas.openxmlformats.org/officeDocument/2006/relationships/hyperlink" Target="https://www.digikey.com/en/products/filter/chip-resistor-surface-mount/52" TargetMode="External"/><Relationship Id="rId17" Type="http://schemas.openxmlformats.org/officeDocument/2006/relationships/hyperlink" Target="https://www.digikey.com/en/products/detail/same-sky-formerly-cui-devices/PTN092-H50115K1A/24767692?msockid=02994e86dd416417044958b2dc276587" TargetMode="External"/><Relationship Id="rId25" Type="http://schemas.openxmlformats.org/officeDocument/2006/relationships/hyperlink" Target="https://www.digikey.com/en/products/filter/chip-resistor-surface-mount/52" TargetMode="External"/><Relationship Id="rId33" Type="http://schemas.openxmlformats.org/officeDocument/2006/relationships/hyperlink" Target="https://www.digikey.com/en/products/filter/through-hole-resistors/0-25w-1-4w/53?s=N4IgjCBcoExaBjKAzAhgGwM4FMA0IA3AOygBcAnAVzxAHsoBtcANgFYAWAZhAF18AHUlBABlCgEsiAcxABfeUA" TargetMode="External"/><Relationship Id="rId38" Type="http://schemas.openxmlformats.org/officeDocument/2006/relationships/hyperlink" Target="https://www.digikey.com/en/products/filter/chip-resistor-surface-mount/1/52?s=N4IgjCBcoMxaBjKAzAhgGwM4FMA0IA3AOygBcAnAVzxAHsoBtcMGCAXXwAdSoQBlCgEsiAcxABfSUA" TargetMode="External"/><Relationship Id="rId46" Type="http://schemas.openxmlformats.org/officeDocument/2006/relationships/hyperlink" Target="https://www.digikey.com/en/products/filter/chip-resistor-surface-mount/5/52?s=N4IgjCBcoMxaBjKAzAhgGwM4FMA0IA3AOygBcAnAVzxAHsoBtEAJgFYAGOAXXwAdSoIAMoUAlkQDmIAL6ygA" TargetMode="External"/><Relationship Id="rId59" Type="http://schemas.openxmlformats.org/officeDocument/2006/relationships/hyperlink" Target="https://www.digikey.com/en/products/filter/chip-resistor-surface-mount/1/52?s=N4IgjCBcoMxaBjKAzAhgGwM4FMA0IA3AOygBcAnAVzxAHsoBtcMGCAXXwAdSoQBlCgEsiAcxABfSUA" TargetMode="External"/><Relationship Id="rId67" Type="http://schemas.openxmlformats.org/officeDocument/2006/relationships/hyperlink" Target="https://www.digikey.com/en/products/filter/chip-resistor-surface-mount/2w/52?s=N4IgjCBcoExaBjKAzAhgGwM4FMA0IA3AOygBcAnAVzxAHsoBtcANgE4wAWCAXXwAdSUEAGUKASyIBzEAF85QA" TargetMode="External"/><Relationship Id="rId20" Type="http://schemas.openxmlformats.org/officeDocument/2006/relationships/hyperlink" Target="https://www.digikey.com/en/products/filter/rotary-potentiometers-rheostats/84" TargetMode="External"/><Relationship Id="rId41" Type="http://schemas.openxmlformats.org/officeDocument/2006/relationships/hyperlink" Target="https://www.digikey.com/en/products/filter/chip-resistor-surface-mount/1/52?s=N4IgjCBcoMxaBjKAzAhgGwM4FMA0IA3AOygBcAnAVzxAHsoBtcMGCAXXwAdSoQBlCgEsiAcxABfSUA" TargetMode="External"/><Relationship Id="rId54" Type="http://schemas.openxmlformats.org/officeDocument/2006/relationships/hyperlink" Target="https://linhkien.cxtvn.com/11753-dien-tro-nhiet-ntc5d-9.html" TargetMode="External"/><Relationship Id="rId62" Type="http://schemas.openxmlformats.org/officeDocument/2006/relationships/hyperlink" Target="https://www.digikey.com/en/products/filter/chip-resistor-surface-mount/0-25w-1-4w/52?s=N4IgjCBcoExaBjKAzAhgGwM4FMA0IA3AOygBcAnAVzxAHsoBtcANgFYAWAZhAF18AHUlBABlCgEsiAcxABfeUA" TargetMode="External"/><Relationship Id="rId70" Type="http://schemas.openxmlformats.org/officeDocument/2006/relationships/hyperlink" Target="https://linhkien.cxtvn.com/4139-dien-tro-1206-1-thong-so-tu-0r-den-910r.html" TargetMode="External"/><Relationship Id="rId75" Type="http://schemas.openxmlformats.org/officeDocument/2006/relationships/hyperlink" Target="https://linhkien.cxtvn.com/2346-dien-tro-0805-1-thong-so-tu-1k-den-91k.html" TargetMode="External"/><Relationship Id="rId83" Type="http://schemas.openxmlformats.org/officeDocument/2006/relationships/hyperlink" Target="https://linhkien.cxtvn.com/2743-dien-tro-0805-1-thong-so-tu-0r-den-910r.html" TargetMode="External"/><Relationship Id="rId1" Type="http://schemas.openxmlformats.org/officeDocument/2006/relationships/hyperlink" Target="https://www.digikey.com/en/products/filter/chip-resistor-surface-mount/0-1w-1-10w/52?s=N4IgjCBcoExaBjKAzAhgGwM4FMA0IA3AOygBcAnAVzxAHsoBtcAFgAYA2ZkAXXwAdSUEAGUKASyIBzEAF85QA" TargetMode="External"/><Relationship Id="rId6" Type="http://schemas.openxmlformats.org/officeDocument/2006/relationships/hyperlink" Target="https://www.digikey.com/en/products/filter/chip-resistor-surface-mount/52" TargetMode="External"/><Relationship Id="rId15" Type="http://schemas.openxmlformats.org/officeDocument/2006/relationships/hyperlink" Target="https://www.digikey.com/en/products/filter/rotary-potentiometers-rheostats/84" TargetMode="External"/><Relationship Id="rId23" Type="http://schemas.openxmlformats.org/officeDocument/2006/relationships/hyperlink" Target="https://www.digikey.com/en/products/detail/yageo/RC0805FR-1310KP/17010898" TargetMode="External"/><Relationship Id="rId28" Type="http://schemas.openxmlformats.org/officeDocument/2006/relationships/hyperlink" Target="https://www.digikey.com/en/products/filter/chip-resistor-surface-mount/52" TargetMode="External"/><Relationship Id="rId36" Type="http://schemas.openxmlformats.org/officeDocument/2006/relationships/hyperlink" Target="https://www.digikey.com/en/products/filter/chip-resistor-surface-mount/0-25w-1-4w/52?s=N4IgjCBcoExaBjKAzAhgGwM4FMA0IA3AOygBcAnAVzxAHsoBtcANgFYAWAZhAF18AHUlBABlCgEsiAcxABfeUA" TargetMode="External"/><Relationship Id="rId49" Type="http://schemas.openxmlformats.org/officeDocument/2006/relationships/hyperlink" Target="https://linhkien.cxtvn.com/2899-dien-tro-0805-1-thong-so-tu-0r-den-910r.html" TargetMode="External"/><Relationship Id="rId57" Type="http://schemas.openxmlformats.org/officeDocument/2006/relationships/hyperlink" Target="https://www.digikey.com/en/products/filter/chip-resistor-surface-mount/0-25w-1-4w/52?s=N4IgjCBcoExaBjKAzAhgGwM4FMA0IA3AOygBcAnAVzxAHsoBtcANgFYAWAZhAF18AHUlBABlCgEsiAcxABfeUA" TargetMode="External"/><Relationship Id="rId10" Type="http://schemas.openxmlformats.org/officeDocument/2006/relationships/hyperlink" Target="https://www.digikey.com/en/products/filter/through-hole-resistors/53" TargetMode="External"/><Relationship Id="rId31" Type="http://schemas.openxmlformats.org/officeDocument/2006/relationships/hyperlink" Target="https://www.digikey.com/en/products/filter/through-hole-resistors/53" TargetMode="External"/><Relationship Id="rId44" Type="http://schemas.openxmlformats.org/officeDocument/2006/relationships/hyperlink" Target="https://www.digikey.com/en/products/filter/chip-resistor-surface-mount/1w/52?s=N4IgjCBcoExaBjKAzAhgGwM4FMA0IA3AOygBcAnAVzxAHsoBtcGMFgThAF18AHUqEAGUKASyIBzEAF8ZQA" TargetMode="External"/><Relationship Id="rId52" Type="http://schemas.openxmlformats.org/officeDocument/2006/relationships/hyperlink" Target="https://www.lcsc.com/category/435.html" TargetMode="External"/><Relationship Id="rId60" Type="http://schemas.openxmlformats.org/officeDocument/2006/relationships/hyperlink" Target="https://www.digikey.com/en/products/detail/yageo/RC1206FR-071R1L/728398" TargetMode="External"/><Relationship Id="rId65" Type="http://schemas.openxmlformats.org/officeDocument/2006/relationships/hyperlink" Target="https://www.digikey.com/en/products/filter/chip-resistor-surface-mount/52" TargetMode="External"/><Relationship Id="rId73" Type="http://schemas.openxmlformats.org/officeDocument/2006/relationships/hyperlink" Target="https://linhkien.cxtvn.com/3300-dien-tro-1206-5-thong-so-tu-0r-den-910r.html" TargetMode="External"/><Relationship Id="rId78" Type="http://schemas.openxmlformats.org/officeDocument/2006/relationships/hyperlink" Target="https://www.digikey.com/en/products/filter/chip-resistor-surface-mount/0-5w-1-2w/52?s=N4IgjCBcoExaBjKAzAhgGwM4FMA0IA3AOygBcAnAVzxAHsoBtEGADgDYW4BdfAB1KggAyhQCWRAOYgAvrKA" TargetMode="External"/><Relationship Id="rId81" Type="http://schemas.openxmlformats.org/officeDocument/2006/relationships/hyperlink" Target="https://linhkien.cxtvn.com/2346-dien-tro-0805-1-thong-so-tu-1k-den-91k.html" TargetMode="External"/><Relationship Id="rId4" Type="http://schemas.openxmlformats.org/officeDocument/2006/relationships/hyperlink" Target="https://www.digikey.com/en/products/filter/chip-resistor-surface-mount/52" TargetMode="External"/><Relationship Id="rId9" Type="http://schemas.openxmlformats.org/officeDocument/2006/relationships/hyperlink" Target="https://www.digikey.com/en/products/filter/chip-resistor-surface-mount/52" TargetMode="External"/><Relationship Id="rId13" Type="http://schemas.openxmlformats.org/officeDocument/2006/relationships/hyperlink" Target="https://www.digikey.com/en/products/filter/chip-resistor-surface-mount/52" TargetMode="External"/><Relationship Id="rId18" Type="http://schemas.openxmlformats.org/officeDocument/2006/relationships/hyperlink" Target="https://www.digikey.com/en/products/filter/through-hole-resistors/53" TargetMode="External"/><Relationship Id="rId39" Type="http://schemas.openxmlformats.org/officeDocument/2006/relationships/hyperlink" Target="https://www.digikey.com/en/products/filter/chip-resistor-surface-mount/0-125w-1-8w/52?s=N4IgjCBcoExaBjKAzAhgGwM4FMA0IA3AOygBcAnAVzxAHsoBtcABgA4B2AThAF18AHUlBABlCgEsiAcxABfeUA" TargetMode="External"/><Relationship Id="rId34" Type="http://schemas.openxmlformats.org/officeDocument/2006/relationships/hyperlink" Target="https://www.digikey.com/en/products/filter/through-hole-resistors/axial/53?s=N4IgjCBcpgbFoDGUBmBDANgZwKYBoQA3AOygBcAnAV3xAHsoBtEAZjAHYwBOABhAF0CABzJQQAZUoBLYgHMQAXyVA" TargetMode="External"/><Relationship Id="rId50" Type="http://schemas.openxmlformats.org/officeDocument/2006/relationships/hyperlink" Target="https://linhkien.cxtvn.com/2349-dien-tro-0805-1-thong-so-tu-1k-den-91k.html" TargetMode="External"/><Relationship Id="rId55" Type="http://schemas.openxmlformats.org/officeDocument/2006/relationships/hyperlink" Target="https://www.digikey.com/en/products/filter/chip-resistor-surface-mount/52" TargetMode="External"/><Relationship Id="rId76" Type="http://schemas.openxmlformats.org/officeDocument/2006/relationships/hyperlink" Target="https://www.digikey.com/en/products/detail/yageo/AC0805FR-07330RL/5896770" TargetMode="External"/><Relationship Id="rId7" Type="http://schemas.openxmlformats.org/officeDocument/2006/relationships/hyperlink" Target="https://www.digikey.com/en/products/filter/chip-resistor-surface-mount/0-1w-1-10w/52?s=N4IgjCBcoExaBjKAzAhgGwM4FMA0IA3AOygBcAnAVzxAHsoBtcAFgAYA2ZkAXXwAdSUEAGUKASyIBzEAF85QA" TargetMode="External"/><Relationship Id="rId71" Type="http://schemas.openxmlformats.org/officeDocument/2006/relationships/hyperlink" Target="https://www.digikey.com/en/products/filter/chip-resistor-surface-mount/1/52?s=N4IgjCBcoMxaBjKAzAhgGwM4FMA0IA3AOygBcAnAVzxAHsoBtcMGCAXXwAdSoQBlCgEsiAcxABfSUA" TargetMode="External"/><Relationship Id="rId2" Type="http://schemas.openxmlformats.org/officeDocument/2006/relationships/hyperlink" Target="https://www.digikey.com/en/products/filter/chip-resistor-surface-mount/52" TargetMode="External"/><Relationship Id="rId29" Type="http://schemas.openxmlformats.org/officeDocument/2006/relationships/hyperlink" Target="https://www.digikey.com/en/products/filter/chip-resistor-surface-mount/1/52?s=N4IgjCBcoMxaBjKAzAhgGwM4FMA0IA3AOygBcAnAVzxAHsoBtcMGCAXXwAdSoQBlCgEsiAcxABfSUA" TargetMode="External"/><Relationship Id="rId24" Type="http://schemas.openxmlformats.org/officeDocument/2006/relationships/hyperlink" Target="https://linhkien.cxtvn.com/6741-dien-tro-0805-1-thong-so-tu-1k-den-91k.html" TargetMode="External"/><Relationship Id="rId40" Type="http://schemas.openxmlformats.org/officeDocument/2006/relationships/hyperlink" Target="https://www.digikey.com/en/products/filter/chip-resistor-surface-mount/52" TargetMode="External"/><Relationship Id="rId45" Type="http://schemas.openxmlformats.org/officeDocument/2006/relationships/hyperlink" Target="https://www.digikey.com/en/products/filter/chip-resistor-surface-mount/52" TargetMode="External"/><Relationship Id="rId66" Type="http://schemas.openxmlformats.org/officeDocument/2006/relationships/hyperlink" Target="https://www.digikey.com/en/products/filter/chip-resistor-surface-mount/5/52?s=N4IgjCBcoMxaBjKAzAhgGwM4FMA0IA3AOygBcAnAVzxAHsoBtEAJgFYAGOAXXwAdSoIAMoUAlkQDmIAL6ygA" TargetMode="External"/><Relationship Id="rId61" Type="http://schemas.openxmlformats.org/officeDocument/2006/relationships/hyperlink" Target="https://www.digikey.com/en/products/filter/chip-resistor-surface-mount/1/52?s=N4IgjCBcoMxaBjKAzAhgGwM4FMA0IA3AOygBcAnAVzxAHsoBtcMGCAXXwAdSoQBlCgEsiAcxABfSUA" TargetMode="External"/><Relationship Id="rId82" Type="http://schemas.openxmlformats.org/officeDocument/2006/relationships/hyperlink" Target="https://www.digikey.com/en/products/detail/stackpole-electronics-inc/RMCF0805FT330R/1760484?s=N4IgTCBcDaIEoFkDCAxADADjQVhQFQGYC04QBdAXyA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igikey.com/en/products/filter/ceramic-capacitors/60" TargetMode="External"/><Relationship Id="rId18" Type="http://schemas.openxmlformats.org/officeDocument/2006/relationships/hyperlink" Target="https://www.digikey.com/en/products/filter/aluminum-electrolytic-capacitors/58" TargetMode="External"/><Relationship Id="rId26" Type="http://schemas.openxmlformats.org/officeDocument/2006/relationships/hyperlink" Target="https://www.digikey.com/en/products/filter/ceramic-capacitors/60" TargetMode="External"/><Relationship Id="rId39" Type="http://schemas.openxmlformats.org/officeDocument/2006/relationships/hyperlink" Target="https://www.digikey.com/en/products/detail/w%C3%BCrth-elektronik/860020474014/5727068" TargetMode="External"/><Relationship Id="rId21" Type="http://schemas.openxmlformats.org/officeDocument/2006/relationships/hyperlink" Target="https://www.digikey.com/en/products/filter/aluminum-electrolytic-capacitors/58" TargetMode="External"/><Relationship Id="rId34" Type="http://schemas.openxmlformats.org/officeDocument/2006/relationships/hyperlink" Target="https://www.digikey.com/en/products/filter/ceramic-capacitors/60" TargetMode="External"/><Relationship Id="rId42" Type="http://schemas.openxmlformats.org/officeDocument/2006/relationships/hyperlink" Target="https://www.digikey.com/en/products/detail/tdk-corporation/C2012C0G2W222J085AE/9324738" TargetMode="External"/><Relationship Id="rId47" Type="http://schemas.openxmlformats.org/officeDocument/2006/relationships/hyperlink" Target="https://www.digikey.com/en/products/detail/yageo/CC0805KRX7R9BB104/302874?s=N4IgTCBcDaIMJwAwA5EFYDSAlAGgdiwE4AhYgRkQBYQBdAXyA" TargetMode="External"/><Relationship Id="rId50" Type="http://schemas.openxmlformats.org/officeDocument/2006/relationships/table" Target="../tables/table3.xml"/><Relationship Id="rId7" Type="http://schemas.openxmlformats.org/officeDocument/2006/relationships/hyperlink" Target="https://lcsc.com/products/Polypropylene-Film-Capacitors-CBB_554.html" TargetMode="External"/><Relationship Id="rId2" Type="http://schemas.openxmlformats.org/officeDocument/2006/relationships/hyperlink" Target="https://lcsc.com/products/Aluminum-Electrolytic-Capacitors-Leaded_315.html" TargetMode="External"/><Relationship Id="rId16" Type="http://schemas.openxmlformats.org/officeDocument/2006/relationships/hyperlink" Target="https://www.digikey.com/en/products/filter/aluminum-electrolytic-capacitors/58" TargetMode="External"/><Relationship Id="rId29" Type="http://schemas.openxmlformats.org/officeDocument/2006/relationships/hyperlink" Target="https://www.digikey.com/en/products/filter/film-capacitors/62" TargetMode="External"/><Relationship Id="rId11" Type="http://schemas.openxmlformats.org/officeDocument/2006/relationships/hyperlink" Target="https://www.digikey.com/en/products/filter/ceramic-capacitors/60" TargetMode="External"/><Relationship Id="rId24" Type="http://schemas.openxmlformats.org/officeDocument/2006/relationships/hyperlink" Target="https://www.digikey.com/en/products/filter/aluminum-electrolytic-capacitors/100-%C2%B5f/58?s=N4IgjCBcoEwAwBYCcVQGMoDMCGAbAzgKYA0IAbgHZQAuATgK4kgD2UA2uHHAAQCtAYiAC6pAA7UoIAKoUAltQDymALKFs%2BerUIgAvnqA" TargetMode="External"/><Relationship Id="rId32" Type="http://schemas.openxmlformats.org/officeDocument/2006/relationships/hyperlink" Target="https://www.digikey.com/en/products/detail/nichicon/LGR2W470MELZ30/3929874" TargetMode="External"/><Relationship Id="rId37" Type="http://schemas.openxmlformats.org/officeDocument/2006/relationships/hyperlink" Target="https://linhkien.cxtvn.com/2528-tu-hoa-5x11mm-cac-gia-tri.html" TargetMode="External"/><Relationship Id="rId40" Type="http://schemas.openxmlformats.org/officeDocument/2006/relationships/hyperlink" Target="https://linhkien.cxtvn.com/2846-tu-hoa-8x12mm-cac-gia-tri.html" TargetMode="External"/><Relationship Id="rId45" Type="http://schemas.openxmlformats.org/officeDocument/2006/relationships/hyperlink" Target="https://www.digikey.com/en/products/detail/tdk-corporation/C3216C0G2J102J085AA/789736" TargetMode="External"/><Relationship Id="rId5" Type="http://schemas.openxmlformats.org/officeDocument/2006/relationships/hyperlink" Target="https://www.digikey.com/en/products/filter/ceramic-capacitors/60" TargetMode="External"/><Relationship Id="rId15" Type="http://schemas.openxmlformats.org/officeDocument/2006/relationships/hyperlink" Target="https://www.digikey.com/en/products/detail/epcos-tdk-electronics/B32529C0474J289/1089840" TargetMode="External"/><Relationship Id="rId23" Type="http://schemas.openxmlformats.org/officeDocument/2006/relationships/hyperlink" Target="https://www.digikey.com/en/products/filter/aluminum-electrolytic-capacitors/58" TargetMode="External"/><Relationship Id="rId28" Type="http://schemas.openxmlformats.org/officeDocument/2006/relationships/hyperlink" Target="https://www.digikey.com/en/products/filter/aluminum-polymer-capacitors/69" TargetMode="External"/><Relationship Id="rId36" Type="http://schemas.openxmlformats.org/officeDocument/2006/relationships/hyperlink" Target="https://www.digikey.com/en/products/detail/kemet/C1210C104KCRACTU/3084015" TargetMode="External"/><Relationship Id="rId49" Type="http://schemas.openxmlformats.org/officeDocument/2006/relationships/printerSettings" Target="../printerSettings/printerSettings3.bin"/><Relationship Id="rId10" Type="http://schemas.openxmlformats.org/officeDocument/2006/relationships/hyperlink" Target="https://www.digikey.com/en/products/filter/ceramic-capacitors/60" TargetMode="External"/><Relationship Id="rId19" Type="http://schemas.openxmlformats.org/officeDocument/2006/relationships/hyperlink" Target="https://www.digikey.com/en/products/filter/aluminum-electrolytic-capacitors/58" TargetMode="External"/><Relationship Id="rId31" Type="http://schemas.openxmlformats.org/officeDocument/2006/relationships/hyperlink" Target="https://linhkien.cxtvn.com/3992-tu-loc-nguon-104j-01uf-275v-chan-10mm-10c.html" TargetMode="External"/><Relationship Id="rId44" Type="http://schemas.openxmlformats.org/officeDocument/2006/relationships/hyperlink" Target="https://linhkien.cxtvn.com/8949-tu-khong-phan-cuc-1206.html" TargetMode="External"/><Relationship Id="rId4" Type="http://schemas.openxmlformats.org/officeDocument/2006/relationships/hyperlink" Target="https://www.digikey.com/en/products/filter/ceramic-capacitors/60" TargetMode="External"/><Relationship Id="rId9" Type="http://schemas.openxmlformats.org/officeDocument/2006/relationships/hyperlink" Target="https://www.digikey.com/en/products/filter/ceramic-capacitors/60" TargetMode="External"/><Relationship Id="rId14" Type="http://schemas.openxmlformats.org/officeDocument/2006/relationships/hyperlink" Target="https://www.digikey.com/en/products/filter/film-capacitors/62" TargetMode="External"/><Relationship Id="rId22" Type="http://schemas.openxmlformats.org/officeDocument/2006/relationships/hyperlink" Target="https://www.digikey.com/en/products/filter/ceramic-capacitors/60" TargetMode="External"/><Relationship Id="rId27" Type="http://schemas.openxmlformats.org/officeDocument/2006/relationships/hyperlink" Target="https://www.digikey.com/en/products/filter/aluminum-electrolytic-capacitors/58" TargetMode="External"/><Relationship Id="rId30" Type="http://schemas.openxmlformats.org/officeDocument/2006/relationships/hyperlink" Target="https://www.digikey.com/en/products/filter/film-capacitors/radial/62?s=N4IgjCBcpgbFoDGUBmBDANgZwKYBoQA3AOygBcAnAV3xAHsoBtEAZgE4AmDgdgA4QAugQAOZKCADKlAJbEA5iAC%2ByoA" TargetMode="External"/><Relationship Id="rId35" Type="http://schemas.openxmlformats.org/officeDocument/2006/relationships/hyperlink" Target="https://www.digikey.com/en/products/filter/ceramic-capacitors/500v/60?s=N4IgjCBcpgLFoDGUBmBDANgZwKYBoQA3AOygBcAnAV3xAHsoBtEAJgGYB2N2DkAXQIAHMlBABlSgEtiAcxABfRUA" TargetMode="External"/><Relationship Id="rId43" Type="http://schemas.openxmlformats.org/officeDocument/2006/relationships/hyperlink" Target="https://www.digikey.com/en/products/detail/kemet/C1206C102J5HACAUTO/7961028" TargetMode="External"/><Relationship Id="rId48" Type="http://schemas.openxmlformats.org/officeDocument/2006/relationships/hyperlink" Target="https://linhkien.cxtvn.com/1976-tu-khong-phan-cuc-0805.html" TargetMode="External"/><Relationship Id="rId8" Type="http://schemas.openxmlformats.org/officeDocument/2006/relationships/hyperlink" Target="https://lcsc.com/products/Polypropylene-Film-Capacitors-CBB_554.html" TargetMode="External"/><Relationship Id="rId3" Type="http://schemas.openxmlformats.org/officeDocument/2006/relationships/hyperlink" Target="https://lcsc.com/products/Multilayer-Ceramic-Capacitors-MLCC-SMD-SMT_313.html" TargetMode="External"/><Relationship Id="rId12" Type="http://schemas.openxmlformats.org/officeDocument/2006/relationships/hyperlink" Target="https://www.digikey.com/en/products/filter/ceramic-capacitors/60" TargetMode="External"/><Relationship Id="rId17" Type="http://schemas.openxmlformats.org/officeDocument/2006/relationships/hyperlink" Target="https://shopee.vn/product/169603007/23856495113?utm_source=coccoc.com&amp;utm_medium=cpc&amp;utm_campaign=VN_COM_SEM_SHOPPING_NB_SP|Mix|All_top_shopping_QC&amp;utm_term=489613972&amp;utm_content=23856495113&amp;ctm_event_id=4128667283" TargetMode="External"/><Relationship Id="rId25" Type="http://schemas.openxmlformats.org/officeDocument/2006/relationships/hyperlink" Target="https://www.digikey.com/en/products/detail/rubycon/50YXJ100MT78X11-5/3134938" TargetMode="External"/><Relationship Id="rId33" Type="http://schemas.openxmlformats.org/officeDocument/2006/relationships/hyperlink" Target="https://linhkienchatluong.vn/tu-hoa-co-phan-cuc/tu-hoa-450v-47uf-22x25mm-chan-cung_sp454_ct5919.aspx" TargetMode="External"/><Relationship Id="rId38" Type="http://schemas.openxmlformats.org/officeDocument/2006/relationships/hyperlink" Target="https://www.lcsc.com/product-detail/C2943996.html?s_z=n_102M%2520400V%2520Y5V" TargetMode="External"/><Relationship Id="rId46" Type="http://schemas.openxmlformats.org/officeDocument/2006/relationships/hyperlink" Target="https://www.digikey.com/en/products/detail/tdk-corporation/C3216C0G2J222J115AA/789738" TargetMode="External"/><Relationship Id="rId20" Type="http://schemas.openxmlformats.org/officeDocument/2006/relationships/hyperlink" Target="https://www.digikey.com/en/products/filter/ceramic-capacitors/50v/60?s=N4IgjCBcpgLFoDGUBmBDANgZwKYBoQA3AOygBcAnAV3xAHsoBtEAJgGYAOAdk5AF0CABzJQQAZUoBLYgHMQAX0VA" TargetMode="External"/><Relationship Id="rId41" Type="http://schemas.openxmlformats.org/officeDocument/2006/relationships/hyperlink" Target="https://www.digikey.com/en/products/detail/tdk-corporation/C2012C0G2W102J060AA/4278032" TargetMode="External"/><Relationship Id="rId1" Type="http://schemas.openxmlformats.org/officeDocument/2006/relationships/hyperlink" Target="https://lcsc.com/products/Aluminum-Electrolytic-Capacitors-Leaded_315.html" TargetMode="External"/><Relationship Id="rId6" Type="http://schemas.openxmlformats.org/officeDocument/2006/relationships/hyperlink" Target="https://www.digikey.com/en/products/filter/ceramic-capacitors/50v/60?s=N4IgjCBcpgLFoDGUBmBDANgZwKYBoQA3AOygBcAnAV3xAHsoBtEAJgGYAOAdk5AF0CABzJQQAZUoBLYgHMQAX0VA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digikey.com/en/products/detail/smc-diode-solutions/DB107S/7244777?msockid=02994e86dd416417044958b2dc276587" TargetMode="External"/><Relationship Id="rId13" Type="http://schemas.openxmlformats.org/officeDocument/2006/relationships/hyperlink" Target="https://linhkien.cxtvn.com/8728-mmsz5240bt1g-diode-zener-10v-500mw-sod123.html" TargetMode="External"/><Relationship Id="rId3" Type="http://schemas.openxmlformats.org/officeDocument/2006/relationships/hyperlink" Target="https://lcsc.com/products/Diodes-General-Purpose_370.html" TargetMode="External"/><Relationship Id="rId7" Type="http://schemas.openxmlformats.org/officeDocument/2006/relationships/hyperlink" Target="https://www.digikey.com/en/products/filter/diodes/bridge-rectifiers/299" TargetMode="External"/><Relationship Id="rId12" Type="http://schemas.openxmlformats.org/officeDocument/2006/relationships/hyperlink" Target="https://www.digikey.com/en/products/detail/nexperia-usa-inc/BZT52-C10J/7101449?msockid=02994e86dd416417044958b2dc276587" TargetMode="External"/><Relationship Id="rId2" Type="http://schemas.openxmlformats.org/officeDocument/2006/relationships/hyperlink" Target="https://www.digikey.com/en/products/filter/diodes/rectifiers/single-diodes/280" TargetMode="External"/><Relationship Id="rId1" Type="http://schemas.openxmlformats.org/officeDocument/2006/relationships/hyperlink" Target="https://www.mouser.com/manufacturer/fairchild-semiconductor/" TargetMode="External"/><Relationship Id="rId6" Type="http://schemas.openxmlformats.org/officeDocument/2006/relationships/hyperlink" Target="https://www.mouser.vn/manufacturer/rectron/" TargetMode="External"/><Relationship Id="rId11" Type="http://schemas.openxmlformats.org/officeDocument/2006/relationships/hyperlink" Target="https://www.lcsc.com/product-detail/C2994277.html" TargetMode="External"/><Relationship Id="rId5" Type="http://schemas.openxmlformats.org/officeDocument/2006/relationships/hyperlink" Target="https://linhkienviet.vn/sr540-5a-40v-diode-chinh-luu" TargetMode="External"/><Relationship Id="rId15" Type="http://schemas.openxmlformats.org/officeDocument/2006/relationships/table" Target="../tables/table4.xml"/><Relationship Id="rId10" Type="http://schemas.openxmlformats.org/officeDocument/2006/relationships/hyperlink" Target="https://www.lcsc.com/category/373.html" TargetMode="External"/><Relationship Id="rId4" Type="http://schemas.openxmlformats.org/officeDocument/2006/relationships/hyperlink" Target="https://www.digikey.com/en/products/filter/transient-voltage-suppressors-tvs/tvs-diodes/144" TargetMode="External"/><Relationship Id="rId9" Type="http://schemas.openxmlformats.org/officeDocument/2006/relationships/hyperlink" Target="https://www.lcsc.com/product-detail/C20754788.html?s_z=n_1n4007" TargetMode="External"/><Relationship Id="rId1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10A@125VAC;5A@250VAC;5A@30VDC" TargetMode="External"/><Relationship Id="rId2" Type="http://schemas.openxmlformats.org/officeDocument/2006/relationships/hyperlink" Target="https://lcsc.com/products/Power-Relays_531.html" TargetMode="External"/><Relationship Id="rId1" Type="http://schemas.openxmlformats.org/officeDocument/2006/relationships/hyperlink" Target="https://lcsc.com/products/Power-Relays_531.html" TargetMode="External"/><Relationship Id="rId6" Type="http://schemas.openxmlformats.org/officeDocument/2006/relationships/table" Target="../tables/table5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www.lcsc.com/product-detail/C400942.html?s_z=n_10A%2520125VAC%252012V%2520Relays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lcsc.com/products/LED-Indication-Discrete_528.html" TargetMode="External"/><Relationship Id="rId13" Type="http://schemas.openxmlformats.org/officeDocument/2006/relationships/table" Target="../tables/table6.xml"/><Relationship Id="rId3" Type="http://schemas.openxmlformats.org/officeDocument/2006/relationships/hyperlink" Target="https://lcsc.com/product-detail/LED-Indication-Discrete_Foshan-NationStar-Optoelectronics-NCD0805R1_C84256.html?s_z=n_led%25200805%2520ered" TargetMode="External"/><Relationship Id="rId7" Type="http://schemas.openxmlformats.org/officeDocument/2006/relationships/hyperlink" Target="https://lcsc.com/products/LED-Indication-Discrete_528.html" TargetMode="External"/><Relationship Id="rId12" Type="http://schemas.openxmlformats.org/officeDocument/2006/relationships/printerSettings" Target="../printerSettings/printerSettings6.bin"/><Relationship Id="rId2" Type="http://schemas.openxmlformats.org/officeDocument/2006/relationships/hyperlink" Target="https://linhkien.cxtvn.com/1306-led-0805-cac-mau.html" TargetMode="External"/><Relationship Id="rId1" Type="http://schemas.openxmlformats.org/officeDocument/2006/relationships/hyperlink" Target="https://lcsc.com/products/LED-Indication-Discrete_528.html" TargetMode="External"/><Relationship Id="rId6" Type="http://schemas.openxmlformats.org/officeDocument/2006/relationships/hyperlink" Target="https://lcsc.com/products/LED-Indication-Discrete_528.html" TargetMode="External"/><Relationship Id="rId11" Type="http://schemas.openxmlformats.org/officeDocument/2006/relationships/hyperlink" Target="https://linhkienviet.vn/led-sieu-sang-3mm-xanh-la-trong" TargetMode="External"/><Relationship Id="rId5" Type="http://schemas.openxmlformats.org/officeDocument/2006/relationships/hyperlink" Target="https://lcsc.com/products/LED-Indication-Discrete_528.html" TargetMode="External"/><Relationship Id="rId10" Type="http://schemas.openxmlformats.org/officeDocument/2006/relationships/hyperlink" Target="https://www.digikey.com/en/products/filter/led-indication-discrete/105" TargetMode="External"/><Relationship Id="rId4" Type="http://schemas.openxmlformats.org/officeDocument/2006/relationships/hyperlink" Target="https://lcsc.com/products/LED-Indication-Discrete_528.html" TargetMode="External"/><Relationship Id="rId9" Type="http://schemas.openxmlformats.org/officeDocument/2006/relationships/hyperlink" Target="https://lcsc.com/products/LED-Indication-Discrete_528.htm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hyperlink" Target="https://www.digikey.com/en/products/detail/stmicroelectronics/ACST410-8BTR/2294968?s=N4IgTCBcDaIIIGEDKAVALARgAwFoAcAQigEogC6AvkA" TargetMode="External"/><Relationship Id="rId1" Type="http://schemas.openxmlformats.org/officeDocument/2006/relationships/hyperlink" Target="https://lcsc.com/products/Thyristors-SCR-Modules_388.htm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www.digikey.com/en/products/filter/pushbutton-switches/199" TargetMode="External"/><Relationship Id="rId1" Type="http://schemas.openxmlformats.org/officeDocument/2006/relationships/hyperlink" Target="https://www.lcsc.com/category/427.html" TargetMode="External"/><Relationship Id="rId4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lcsc.com/products/Wire-To-Board-Connector_11068.html" TargetMode="External"/><Relationship Id="rId13" Type="http://schemas.openxmlformats.org/officeDocument/2006/relationships/hyperlink" Target="https://linhkien.cxtvn.com/6795-header-duc-ch396-3p-396mm-chan-thang.html" TargetMode="External"/><Relationship Id="rId18" Type="http://schemas.openxmlformats.org/officeDocument/2006/relationships/printerSettings" Target="../printerSettings/printerSettings8.bin"/><Relationship Id="rId3" Type="http://schemas.openxmlformats.org/officeDocument/2006/relationships/hyperlink" Target="https://lcsc.com/products/Audio-Connectors_590.html" TargetMode="External"/><Relationship Id="rId7" Type="http://schemas.openxmlformats.org/officeDocument/2006/relationships/hyperlink" Target="https://lcsc.com/product-detail/Screw-Terminal-Blocks_Cixi-Kefa-Elec-KF128-5-08-2P-AA_C474952.html?s_z=n_KF128-5.08-2P-AA" TargetMode="External"/><Relationship Id="rId12" Type="http://schemas.openxmlformats.org/officeDocument/2006/relationships/hyperlink" Target="https://www.lcsc.com/product-detail/C19271414.html?s_z=n_3.96%25203P" TargetMode="External"/><Relationship Id="rId17" Type="http://schemas.openxmlformats.org/officeDocument/2006/relationships/hyperlink" Target="https://www.digikey.com/en/products/detail/jst-sales-america-inc/B5P-VH/926550" TargetMode="External"/><Relationship Id="rId2" Type="http://schemas.openxmlformats.org/officeDocument/2006/relationships/hyperlink" Target="https://lcsc.com/products/Barrier-Terminal-Blocks_11073.html" TargetMode="External"/><Relationship Id="rId16" Type="http://schemas.openxmlformats.org/officeDocument/2006/relationships/hyperlink" Target="https://www.digikey.com/en/products/detail/te-connectivity-amp-connectors/1-1318300-2/686676?s=N4IgTCBcDaIIwFo4GY4A5kAZMIgXQF8g" TargetMode="External"/><Relationship Id="rId1" Type="http://schemas.openxmlformats.org/officeDocument/2006/relationships/hyperlink" Target="https://www.digikey.com/en/products/filter/terminals/quick-connects-quick-disconnect-connectors/392" TargetMode="External"/><Relationship Id="rId6" Type="http://schemas.openxmlformats.org/officeDocument/2006/relationships/hyperlink" Target="https://lcsc.com/products/Screw-Terminal-Blocks_11140.html" TargetMode="External"/><Relationship Id="rId11" Type="http://schemas.openxmlformats.org/officeDocument/2006/relationships/hyperlink" Target="https://linhkien.cxtvn.com/2492-header-duc-254-chan-thang.html" TargetMode="External"/><Relationship Id="rId5" Type="http://schemas.openxmlformats.org/officeDocument/2006/relationships/hyperlink" Target="https://lcsc.com/product-detail/Audio-Connectors_Shenzhen-Kinghelm-Elec-KH-PJ-313_C5123143.html?s_z=n_KH-PJ-313" TargetMode="External"/><Relationship Id="rId15" Type="http://schemas.openxmlformats.org/officeDocument/2006/relationships/hyperlink" Target="https://www.digikey.com/en/products/filter/rectangular-connectors/headers-male-pins/314" TargetMode="External"/><Relationship Id="rId10" Type="http://schemas.openxmlformats.org/officeDocument/2006/relationships/hyperlink" Target="https://www.lcsc.com/product-detail/C41418994.html" TargetMode="External"/><Relationship Id="rId19" Type="http://schemas.openxmlformats.org/officeDocument/2006/relationships/table" Target="../tables/table9.xml"/><Relationship Id="rId4" Type="http://schemas.openxmlformats.org/officeDocument/2006/relationships/hyperlink" Target="https://linhkienviet.vn/jack-audio-3-5mm-pj-313-5p-dip" TargetMode="External"/><Relationship Id="rId9" Type="http://schemas.openxmlformats.org/officeDocument/2006/relationships/hyperlink" Target="https://www.lcsc.com/category/557.html" TargetMode="External"/><Relationship Id="rId14" Type="http://schemas.openxmlformats.org/officeDocument/2006/relationships/hyperlink" Target="https://www.digikey.com/en/products/detail/te-connectivity-amp-connectors/1-1318301-2/686686?msockid=02994e86dd416417044958b2dc276587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hyperlink" Target="https://lcsc.com/products/Buzzers_386.html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digikey.com/en/products/filter/fixed-inductors/71" TargetMode="External"/><Relationship Id="rId13" Type="http://schemas.openxmlformats.org/officeDocument/2006/relationships/hyperlink" Target="https://www.mouser.vn/ProductDetail/Wurth-Elektronik/744861250?qs=sGAEpiMZZMtyFaoUegSfpj3oJvVhJvoRaV5Gn0u6gJA%3D" TargetMode="External"/><Relationship Id="rId3" Type="http://schemas.openxmlformats.org/officeDocument/2006/relationships/hyperlink" Target="https://linhkien.cxtvn.com/11588-cuon-cam-68uh-cd53-470-58x52x3mm.html" TargetMode="External"/><Relationship Id="rId7" Type="http://schemas.openxmlformats.org/officeDocument/2006/relationships/hyperlink" Target="https://kme.com.vn/cuon-cam-dan-04204r7-47uh-22a-43x47x2mm-chinh-hang.p4213587.html" TargetMode="External"/><Relationship Id="rId12" Type="http://schemas.openxmlformats.org/officeDocument/2006/relationships/hyperlink" Target="https://www.mouser.vn/ProductDetail/Bourns/CM13093CT-102?qs=Vi0JKjFBtYnemkpn6Rh%252BbQ%3D%3D" TargetMode="External"/><Relationship Id="rId2" Type="http://schemas.openxmlformats.org/officeDocument/2006/relationships/hyperlink" Target="https://lcsc.com/products/Inductors-SMD_337.html" TargetMode="External"/><Relationship Id="rId1" Type="http://schemas.openxmlformats.org/officeDocument/2006/relationships/hyperlink" Target="https://www.linhkienchatluong.vn/china_h1257.aspx" TargetMode="External"/><Relationship Id="rId6" Type="http://schemas.openxmlformats.org/officeDocument/2006/relationships/hyperlink" Target="https://www.mouser.com/manufacturer/bi-technologies/" TargetMode="External"/><Relationship Id="rId11" Type="http://schemas.openxmlformats.org/officeDocument/2006/relationships/hyperlink" Target="https://www.digikey.com/en/products/filter/fixed-inductors/71" TargetMode="External"/><Relationship Id="rId5" Type="http://schemas.openxmlformats.org/officeDocument/2006/relationships/hyperlink" Target="https://lcsc.com/products/Ferrite-Beads_527.html" TargetMode="External"/><Relationship Id="rId15" Type="http://schemas.openxmlformats.org/officeDocument/2006/relationships/table" Target="../tables/table11.xml"/><Relationship Id="rId10" Type="http://schemas.openxmlformats.org/officeDocument/2006/relationships/hyperlink" Target="https://www.digikey.com/en/products/detail/bourns-inc/RLB0812-470KL/2561325" TargetMode="External"/><Relationship Id="rId4" Type="http://schemas.openxmlformats.org/officeDocument/2006/relationships/hyperlink" Target="https://www.linhkienchatluong.vn/cuon-cam-vach-mau-1w-0510/cuon-cam-vach-1w-47mh-0510-10c_sp1444_ct15825.aspx" TargetMode="External"/><Relationship Id="rId9" Type="http://schemas.openxmlformats.org/officeDocument/2006/relationships/hyperlink" Target="https://www.digikey.com/en/products/filter/fixed-inductors/450-ma/71?s=N4IgjCBcoEwAwA4FVAYygMwIYBsDOApgDQgBuAdlAC4BOArsSAPZQDaIALAKxwAEAtgEEQAXRIAHKlBABVcgEsqAeQwBZAljx0aBEAF8DQA" TargetMode="External"/><Relationship Id="rId14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linhkien.cxtvn.com/11694-t5a-cau-chi-hop-85x4mm-5a-250v-10c.html" TargetMode="External"/><Relationship Id="rId2" Type="http://schemas.openxmlformats.org/officeDocument/2006/relationships/hyperlink" Target="https://www.lcsc.com/product-detail/C42367993.html?s_z=n_T5AL%2520250V" TargetMode="External"/><Relationship Id="rId1" Type="http://schemas.openxmlformats.org/officeDocument/2006/relationships/hyperlink" Target="https://lcsc.com/products/Resettable-Fuses_11042.html" TargetMode="External"/><Relationship Id="rId5" Type="http://schemas.openxmlformats.org/officeDocument/2006/relationships/table" Target="../tables/table12.xml"/><Relationship Id="rId4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linhkien.cxtvn.com/9778-moc3021-optoisolator-5kv-triac-6dip.html" TargetMode="External"/><Relationship Id="rId2" Type="http://schemas.openxmlformats.org/officeDocument/2006/relationships/hyperlink" Target="https://www.digikey.com/en/products/detail/liteon/MOC3021/385844?msockid=02994e86dd416417044958b2dc276587" TargetMode="External"/><Relationship Id="rId1" Type="http://schemas.openxmlformats.org/officeDocument/2006/relationships/hyperlink" Target="https://www.digikey.com/en/products/filter/optocouplers-optoisolators/triac-scr-output-optoisolators/904" TargetMode="External"/><Relationship Id="rId6" Type="http://schemas.openxmlformats.org/officeDocument/2006/relationships/table" Target="../tables/table13.xml"/><Relationship Id="rId5" Type="http://schemas.openxmlformats.org/officeDocument/2006/relationships/hyperlink" Target="https://linhkien.cxtvn.com/11509-pc817c-s-ic-optoisolator-1ch-sop-4-umw.html" TargetMode="External"/><Relationship Id="rId4" Type="http://schemas.openxmlformats.org/officeDocument/2006/relationships/hyperlink" Target="https://www.lcsc.com/product-detail/C66405.html?s_z=n_pc817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digikey.com/en/products/detail/comchip-technology/SS8050-G/6138901?s=N4IgTCBcDaIMpwBwAYCsyC0BxEBdAvkA" TargetMode="External"/><Relationship Id="rId2" Type="http://schemas.openxmlformats.org/officeDocument/2006/relationships/hyperlink" Target="https://www.digikey.com/en/products/filter/transistors/bipolar-bjt/single-bipolar-transistors/276" TargetMode="External"/><Relationship Id="rId1" Type="http://schemas.openxmlformats.org/officeDocument/2006/relationships/hyperlink" Target="https://www.mouser.vn/manufacturer/central-semiconductor/" TargetMode="External"/><Relationship Id="rId5" Type="http://schemas.openxmlformats.org/officeDocument/2006/relationships/table" Target="../tables/table14.xml"/><Relationship Id="rId4" Type="http://schemas.openxmlformats.org/officeDocument/2006/relationships/hyperlink" Target="https://linhkien.cxtvn.com/6446-mmss8050-l-tp-transistor-npn-25v-15a-sot-23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mouser.vn/manufacturer/nxp-semiconductors/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6"/>
  <sheetViews>
    <sheetView tabSelected="1" workbookViewId="0">
      <selection activeCell="C23" sqref="C23"/>
    </sheetView>
  </sheetViews>
  <sheetFormatPr defaultRowHeight="14.4"/>
  <cols>
    <col min="1" max="1" width="16.5546875" customWidth="1"/>
  </cols>
  <sheetData>
    <row r="1" spans="1:1">
      <c r="A1" s="5" t="s">
        <v>1145</v>
      </c>
    </row>
    <row r="2" spans="1:1">
      <c r="A2" s="5" t="s">
        <v>1146</v>
      </c>
    </row>
    <row r="3" spans="1:1">
      <c r="A3" s="5" t="s">
        <v>1147</v>
      </c>
    </row>
    <row r="4" spans="1:1">
      <c r="A4" s="5" t="s">
        <v>1148</v>
      </c>
    </row>
    <row r="5" spans="1:1">
      <c r="A5" s="5" t="s">
        <v>1149</v>
      </c>
    </row>
    <row r="6" spans="1:1">
      <c r="A6" s="5" t="s">
        <v>1150</v>
      </c>
    </row>
    <row r="7" spans="1:1">
      <c r="A7" s="5" t="s">
        <v>1151</v>
      </c>
    </row>
    <row r="8" spans="1:1">
      <c r="A8" s="5" t="s">
        <v>1152</v>
      </c>
    </row>
    <row r="9" spans="1:1">
      <c r="A9" s="5" t="s">
        <v>1153</v>
      </c>
    </row>
    <row r="10" spans="1:1">
      <c r="A10" s="5" t="s">
        <v>1160</v>
      </c>
    </row>
    <row r="11" spans="1:1">
      <c r="A11" s="5" t="s">
        <v>1154</v>
      </c>
    </row>
    <row r="12" spans="1:1">
      <c r="A12" s="5" t="s">
        <v>1155</v>
      </c>
    </row>
    <row r="13" spans="1:1">
      <c r="A13" s="5" t="s">
        <v>1156</v>
      </c>
    </row>
    <row r="14" spans="1:1">
      <c r="A14" s="5" t="s">
        <v>1157</v>
      </c>
    </row>
    <row r="15" spans="1:1">
      <c r="A15" s="5" t="s">
        <v>1158</v>
      </c>
    </row>
    <row r="16" spans="1:1">
      <c r="A16" s="5" t="s">
        <v>1159</v>
      </c>
    </row>
  </sheetData>
  <hyperlinks>
    <hyperlink ref="A1" location="'01 IC'!A1" display="01 IC"/>
    <hyperlink ref="A2" location="'02 Resistor'!A1" display="02 Resistor"/>
    <hyperlink ref="A3" location="'03 Capacitor'!A1" display="03 Capacitor"/>
    <hyperlink ref="A4" location="'04 Diode TVS'!A1" display="04 Diode TVS"/>
    <hyperlink ref="A5" location="'05 Relay'!A1" display="05 Relay"/>
    <hyperlink ref="A6" location="'06 LED'!A1" display="06 LED"/>
    <hyperlink ref="A7" location="'07 Thyristor'!A1" display="07 Thyristor"/>
    <hyperlink ref="A8" location="'08 Button SW'!A1" display="08 Button SW"/>
    <hyperlink ref="A9" location="'09  Connector'!A1" display="09 Connector"/>
    <hyperlink ref="A10" location="'10 User Interface'!A1" display="10 User Interface"/>
    <hyperlink ref="A11" location="'11 INDUCTOR'!A1" display="11 INDUCTOR"/>
    <hyperlink ref="A12" location="'12 FUSE'!A1" display="12 FUSE"/>
    <hyperlink ref="A13" location="'13 OPTOISOLATOR'!A1" display="13 OPTOISOLATOR"/>
    <hyperlink ref="A14" location="'14 TRAN FET'!A1" display="14 TRAN FET"/>
    <hyperlink ref="A15" location="'15 MODULE'!A1" display="15 MODULE"/>
    <hyperlink ref="A16" location="'16 Transformer'!A1" display="16 Transformer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6"/>
  <sheetViews>
    <sheetView zoomScale="85" zoomScaleNormal="85" workbookViewId="0">
      <selection activeCell="A16" sqref="A16"/>
    </sheetView>
  </sheetViews>
  <sheetFormatPr defaultRowHeight="14.4"/>
  <cols>
    <col min="1" max="1" width="27.33203125" customWidth="1"/>
    <col min="2" max="2" width="18.33203125" customWidth="1"/>
    <col min="3" max="3" width="47.6640625" customWidth="1"/>
    <col min="4" max="4" width="55.33203125" bestFit="1" customWidth="1"/>
    <col min="5" max="5" width="29" customWidth="1"/>
    <col min="6" max="6" width="8.33203125" customWidth="1"/>
    <col min="7" max="7" width="11.5546875" customWidth="1"/>
    <col min="8" max="8" width="11.88671875" customWidth="1"/>
    <col min="9" max="9" width="11.5546875" customWidth="1"/>
    <col min="10" max="10" width="14.88671875" customWidth="1"/>
    <col min="11" max="11" width="12.88671875" bestFit="1" customWidth="1"/>
    <col min="15" max="18" width="18" customWidth="1"/>
    <col min="19" max="19" width="32.77734375" customWidth="1"/>
    <col min="20" max="20" width="29.109375" bestFit="1" customWidth="1"/>
  </cols>
  <sheetData>
    <row r="1" spans="1:19">
      <c r="A1" t="s">
        <v>33</v>
      </c>
      <c r="B1" t="s">
        <v>5</v>
      </c>
      <c r="C1" t="s">
        <v>4</v>
      </c>
      <c r="D1" t="s">
        <v>6</v>
      </c>
      <c r="E1" t="s">
        <v>0</v>
      </c>
      <c r="F1" t="s">
        <v>11</v>
      </c>
      <c r="G1" t="s">
        <v>10</v>
      </c>
      <c r="H1" t="s">
        <v>13</v>
      </c>
      <c r="I1" t="s">
        <v>14</v>
      </c>
      <c r="J1" t="s">
        <v>3</v>
      </c>
      <c r="K1" t="s">
        <v>7</v>
      </c>
      <c r="L1" t="s">
        <v>8</v>
      </c>
      <c r="M1" t="s">
        <v>9</v>
      </c>
      <c r="N1" t="s">
        <v>12</v>
      </c>
      <c r="O1" t="s">
        <v>15</v>
      </c>
      <c r="P1" t="s">
        <v>16</v>
      </c>
      <c r="Q1" t="s">
        <v>17</v>
      </c>
      <c r="R1" t="s">
        <v>1</v>
      </c>
      <c r="S1" t="s">
        <v>2</v>
      </c>
    </row>
    <row r="2" spans="1:19" ht="14.25" customHeight="1">
      <c r="A2" s="1" t="s">
        <v>18</v>
      </c>
      <c r="B2" s="1" t="s">
        <v>19</v>
      </c>
      <c r="C2" s="1" t="s">
        <v>20</v>
      </c>
      <c r="D2" s="1" t="s">
        <v>21</v>
      </c>
      <c r="E2" s="1"/>
      <c r="F2" s="1"/>
      <c r="G2" s="1"/>
      <c r="H2" s="1"/>
      <c r="I2" s="1"/>
      <c r="J2" s="2" t="s">
        <v>23</v>
      </c>
      <c r="K2" s="1"/>
      <c r="L2" s="1"/>
      <c r="M2" s="1"/>
      <c r="O2" s="1" t="s">
        <v>22</v>
      </c>
      <c r="Q2" t="s">
        <v>24</v>
      </c>
      <c r="R2" s="1" t="s">
        <v>25</v>
      </c>
      <c r="S2" s="2" t="s">
        <v>23</v>
      </c>
    </row>
    <row r="3" spans="1:19">
      <c r="A3" t="s">
        <v>26</v>
      </c>
      <c r="B3" t="s">
        <v>27</v>
      </c>
      <c r="C3" t="s">
        <v>28</v>
      </c>
      <c r="D3" t="s">
        <v>29</v>
      </c>
      <c r="J3" s="2" t="s">
        <v>30</v>
      </c>
      <c r="L3" s="1"/>
      <c r="O3" t="s">
        <v>22</v>
      </c>
      <c r="P3" t="s">
        <v>32</v>
      </c>
      <c r="Q3" t="s">
        <v>31</v>
      </c>
      <c r="R3" t="s">
        <v>26</v>
      </c>
      <c r="S3" t="s">
        <v>30</v>
      </c>
    </row>
    <row r="4" spans="1:19">
      <c r="A4" t="s">
        <v>34</v>
      </c>
      <c r="B4" t="s">
        <v>35</v>
      </c>
      <c r="C4" t="s">
        <v>36</v>
      </c>
      <c r="D4" t="s">
        <v>37</v>
      </c>
      <c r="J4" t="s">
        <v>38</v>
      </c>
      <c r="N4" t="s">
        <v>39</v>
      </c>
      <c r="O4" t="s">
        <v>22</v>
      </c>
      <c r="Q4" t="s">
        <v>40</v>
      </c>
      <c r="R4" t="s">
        <v>34</v>
      </c>
      <c r="S4" t="s">
        <v>41</v>
      </c>
    </row>
    <row r="5" spans="1:19">
      <c r="A5" t="s">
        <v>42</v>
      </c>
      <c r="B5" t="s">
        <v>43</v>
      </c>
      <c r="C5" t="s">
        <v>44</v>
      </c>
      <c r="D5" t="s">
        <v>45</v>
      </c>
      <c r="G5" s="4">
        <v>7.9000000000000008E-3</v>
      </c>
      <c r="H5" t="s">
        <v>46</v>
      </c>
      <c r="I5" t="s">
        <v>47</v>
      </c>
      <c r="K5" t="s">
        <v>49</v>
      </c>
      <c r="L5" t="s">
        <v>50</v>
      </c>
      <c r="M5" t="s">
        <v>51</v>
      </c>
      <c r="N5" t="s">
        <v>48</v>
      </c>
      <c r="O5" t="s">
        <v>22</v>
      </c>
      <c r="Q5" t="s">
        <v>52</v>
      </c>
      <c r="R5" t="s">
        <v>42</v>
      </c>
      <c r="S5" t="s">
        <v>53</v>
      </c>
    </row>
    <row r="6" spans="1:19">
      <c r="A6" t="s">
        <v>529</v>
      </c>
      <c r="B6" t="s">
        <v>530</v>
      </c>
      <c r="C6" t="s">
        <v>532</v>
      </c>
      <c r="D6" t="s">
        <v>531</v>
      </c>
      <c r="H6" t="s">
        <v>533</v>
      </c>
      <c r="I6" t="s">
        <v>534</v>
      </c>
      <c r="J6" t="s">
        <v>537</v>
      </c>
      <c r="O6" t="s">
        <v>22</v>
      </c>
      <c r="P6" t="s">
        <v>536</v>
      </c>
      <c r="Q6" t="s">
        <v>535</v>
      </c>
      <c r="R6" t="s">
        <v>528</v>
      </c>
      <c r="S6" t="s">
        <v>527</v>
      </c>
    </row>
    <row r="7" spans="1:19">
      <c r="A7" t="s">
        <v>670</v>
      </c>
      <c r="B7" t="s">
        <v>35</v>
      </c>
      <c r="C7" t="s">
        <v>668</v>
      </c>
      <c r="D7" t="s">
        <v>667</v>
      </c>
      <c r="J7" t="s">
        <v>669</v>
      </c>
      <c r="L7" t="s">
        <v>671</v>
      </c>
      <c r="O7" t="s">
        <v>22</v>
      </c>
      <c r="P7" t="s">
        <v>672</v>
      </c>
      <c r="Q7" t="s">
        <v>673</v>
      </c>
      <c r="R7" t="s">
        <v>670</v>
      </c>
      <c r="S7" t="s">
        <v>674</v>
      </c>
    </row>
    <row r="8" spans="1:19">
      <c r="A8" t="s">
        <v>676</v>
      </c>
      <c r="B8" t="s">
        <v>675</v>
      </c>
      <c r="C8" t="s">
        <v>677</v>
      </c>
      <c r="D8" t="s">
        <v>678</v>
      </c>
      <c r="J8" t="s">
        <v>679</v>
      </c>
      <c r="L8" t="s">
        <v>680</v>
      </c>
      <c r="O8" t="s">
        <v>22</v>
      </c>
      <c r="P8" t="s">
        <v>681</v>
      </c>
      <c r="Q8" t="s">
        <v>682</v>
      </c>
      <c r="R8" t="s">
        <v>676</v>
      </c>
      <c r="S8" t="s">
        <v>683</v>
      </c>
    </row>
    <row r="9" spans="1:19" ht="15" thickBot="1">
      <c r="A9" t="s">
        <v>684</v>
      </c>
      <c r="B9" t="s">
        <v>530</v>
      </c>
      <c r="C9" t="s">
        <v>685</v>
      </c>
      <c r="D9" t="s">
        <v>686</v>
      </c>
      <c r="E9" s="10"/>
      <c r="H9" t="s">
        <v>143</v>
      </c>
      <c r="I9" t="s">
        <v>350</v>
      </c>
      <c r="J9" t="s">
        <v>687</v>
      </c>
      <c r="O9" t="s">
        <v>22</v>
      </c>
      <c r="P9" t="s">
        <v>688</v>
      </c>
      <c r="Q9" t="s">
        <v>689</v>
      </c>
      <c r="R9" t="s">
        <v>684</v>
      </c>
      <c r="S9" t="s">
        <v>684</v>
      </c>
    </row>
    <row r="10" spans="1:19">
      <c r="A10" t="s">
        <v>811</v>
      </c>
      <c r="B10" t="s">
        <v>19</v>
      </c>
      <c r="C10" t="s">
        <v>812</v>
      </c>
      <c r="D10" t="s">
        <v>21</v>
      </c>
      <c r="J10" t="s">
        <v>813</v>
      </c>
      <c r="O10" t="s">
        <v>22</v>
      </c>
      <c r="P10" t="s">
        <v>815</v>
      </c>
      <c r="Q10" t="s">
        <v>814</v>
      </c>
      <c r="R10" t="s">
        <v>811</v>
      </c>
      <c r="S10" t="s">
        <v>811</v>
      </c>
    </row>
    <row r="11" spans="1:19">
      <c r="A11" t="s">
        <v>871</v>
      </c>
      <c r="B11" t="s">
        <v>872</v>
      </c>
      <c r="C11" t="s">
        <v>873</v>
      </c>
      <c r="D11" t="s">
        <v>874</v>
      </c>
      <c r="H11" t="s">
        <v>875</v>
      </c>
      <c r="I11" t="s">
        <v>818</v>
      </c>
      <c r="J11" t="s">
        <v>876</v>
      </c>
      <c r="O11" t="s">
        <v>22</v>
      </c>
      <c r="P11" t="s">
        <v>878</v>
      </c>
      <c r="Q11" t="s">
        <v>877</v>
      </c>
      <c r="R11" t="s">
        <v>871</v>
      </c>
      <c r="S11" t="s">
        <v>885</v>
      </c>
    </row>
    <row r="36" spans="1:1">
      <c r="A36" s="17"/>
    </row>
  </sheetData>
  <phoneticPr fontId="2" type="noConversion"/>
  <hyperlinks>
    <hyperlink ref="D2" r:id="rId1" tooltip="Embedded Processors &amp; Controllers/Microcontrollers (MCU/MPU/SOC)" display="https://lcsc.com/products/Microcontrollers-MCU-MPU-SOC_11329.html"/>
    <hyperlink ref="D3" r:id="rId2" tooltip="LED Drivers/LED Drivers" display="https://lcsc.com/products/LED-Drivers_583.html"/>
    <hyperlink ref="D4" r:id="rId3" display="https://www.digikey.com/en/products/filter/power-management-pmic/voltage-regulators-dc-dc-switching-regulators/739"/>
    <hyperlink ref="D5" r:id="rId4" display="https://www.digikey.co.uk/en/products/filter/ac-dc-converters/923"/>
    <hyperlink ref="D6" r:id="rId5" display="https://www.digikey.com/en/products/filter/linear/amplifiers/audio-amplifiers/742"/>
    <hyperlink ref="D7" r:id="rId6" display="https://www.digikey.com/en/products/filter/transistors/bipolar-bjt/bipolar-transistor-arrays/277"/>
    <hyperlink ref="D8" r:id="rId7" display="https://www.digikey.com/en/products/filter/embedded/microcontrollers/685"/>
    <hyperlink ref="D9" r:id="rId8" display="https://www.digikey.com/en/products/filter/power-management-pmic/voltage-regulators-linear-low-drop-out-ldo-regulators/699"/>
    <hyperlink ref="I9" r:id="rId9" display="https://www.digikey.com/en/products/filter/power-management-pmic/voltage-regulators-linear-low-drop-out-ldo-regulators/500ma/699?s=N4IgjCBcpgTAnFUBjKAzAhgGwM4FMAaEANwDsoAXAJwFdCQB7KAbRFgGYA2AdnYBYQAXSIAHClBABlagEtSAcxABfFUA"/>
    <hyperlink ref="D10" r:id="rId10" tooltip="Embedded Processors &amp; Controllers/Microcontrollers (MCU/MPU/SOC)" display="https://www.lcsc.com/category/11329.html"/>
    <hyperlink ref="P10" r:id="rId11"/>
    <hyperlink ref="D11" r:id="rId12" tooltip="Power Management (PMIC)/AC-DC Controllers and Regulators" display="https://www.lcsc.com/category/483.html"/>
  </hyperlinks>
  <pageMargins left="0.7" right="0.7" top="0.75" bottom="0.75" header="0.3" footer="0.3"/>
  <pageSetup orientation="portrait" r:id="rId13"/>
  <tableParts count="1">
    <tablePart r:id="rId1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42"/>
  <sheetViews>
    <sheetView workbookViewId="0">
      <selection activeCell="A42" sqref="A42"/>
    </sheetView>
  </sheetViews>
  <sheetFormatPr defaultRowHeight="14.4"/>
  <cols>
    <col min="1" max="1" width="18.5546875" customWidth="1"/>
    <col min="3" max="3" width="38.21875" customWidth="1"/>
    <col min="4" max="4" width="18" customWidth="1"/>
    <col min="9" max="9" width="14.5546875" customWidth="1"/>
    <col min="10" max="10" width="18.5546875" style="1" customWidth="1"/>
    <col min="14" max="14" width="18.77734375" customWidth="1"/>
    <col min="16" max="16" width="14" customWidth="1"/>
    <col min="17" max="17" width="11.44140625" customWidth="1"/>
    <col min="18" max="18" width="21.21875" customWidth="1"/>
    <col min="19" max="19" width="19.33203125" customWidth="1"/>
  </cols>
  <sheetData>
    <row r="1" spans="1:19">
      <c r="A1" t="s">
        <v>33</v>
      </c>
      <c r="B1" t="s">
        <v>5</v>
      </c>
      <c r="C1" t="s">
        <v>4</v>
      </c>
      <c r="D1" t="s">
        <v>6</v>
      </c>
      <c r="E1" t="s">
        <v>0</v>
      </c>
      <c r="F1" t="s">
        <v>11</v>
      </c>
      <c r="G1" t="s">
        <v>10</v>
      </c>
      <c r="H1" t="s">
        <v>13</v>
      </c>
      <c r="I1" t="s">
        <v>14</v>
      </c>
      <c r="J1" s="1" t="s">
        <v>3</v>
      </c>
      <c r="K1" t="s">
        <v>7</v>
      </c>
      <c r="L1" t="s">
        <v>8</v>
      </c>
      <c r="M1" t="s">
        <v>9</v>
      </c>
      <c r="N1" t="s">
        <v>12</v>
      </c>
      <c r="O1" t="s">
        <v>15</v>
      </c>
      <c r="P1" t="s">
        <v>16</v>
      </c>
      <c r="Q1" t="s">
        <v>17</v>
      </c>
      <c r="R1" t="s">
        <v>1</v>
      </c>
      <c r="S1" t="s">
        <v>2</v>
      </c>
    </row>
    <row r="2" spans="1:19">
      <c r="A2" t="s">
        <v>185</v>
      </c>
      <c r="B2" t="s">
        <v>186</v>
      </c>
      <c r="C2" t="s">
        <v>187</v>
      </c>
      <c r="D2" t="s">
        <v>188</v>
      </c>
      <c r="F2" s="6">
        <f>Components3[[#This Row],[Value]]</f>
        <v>0</v>
      </c>
      <c r="H2" t="s">
        <v>182</v>
      </c>
      <c r="J2" s="1" t="s">
        <v>189</v>
      </c>
      <c r="O2" t="s">
        <v>22</v>
      </c>
      <c r="P2" t="s">
        <v>183</v>
      </c>
      <c r="Q2" t="s">
        <v>190</v>
      </c>
      <c r="R2" s="1" t="s">
        <v>184</v>
      </c>
      <c r="S2" s="3" t="s">
        <v>191</v>
      </c>
    </row>
    <row r="3" spans="1:19">
      <c r="A3" t="s">
        <v>210</v>
      </c>
      <c r="B3" t="s">
        <v>211</v>
      </c>
      <c r="C3" t="s">
        <v>212</v>
      </c>
      <c r="D3" t="s">
        <v>213</v>
      </c>
      <c r="E3">
        <v>12</v>
      </c>
      <c r="F3">
        <f>Components3[[#This Row],[Value]]</f>
        <v>12</v>
      </c>
      <c r="G3">
        <v>0.01</v>
      </c>
      <c r="H3" t="s">
        <v>214</v>
      </c>
      <c r="I3" t="s">
        <v>204</v>
      </c>
      <c r="K3" t="s">
        <v>216</v>
      </c>
      <c r="N3" t="s">
        <v>215</v>
      </c>
      <c r="O3" t="s">
        <v>22</v>
      </c>
      <c r="P3" t="s">
        <v>201</v>
      </c>
      <c r="Q3" t="s">
        <v>217</v>
      </c>
      <c r="R3" t="s">
        <v>202</v>
      </c>
      <c r="S3" t="s">
        <v>203</v>
      </c>
    </row>
    <row r="4" spans="1:19">
      <c r="A4" t="s">
        <v>218</v>
      </c>
      <c r="B4" t="s">
        <v>219</v>
      </c>
      <c r="C4" t="s">
        <v>220</v>
      </c>
      <c r="D4" t="s">
        <v>221</v>
      </c>
      <c r="E4" t="s">
        <v>222</v>
      </c>
      <c r="F4" t="str">
        <f>Components3[[#This Row],[Value]]</f>
        <v>100K</v>
      </c>
      <c r="G4" t="s">
        <v>223</v>
      </c>
      <c r="I4" t="s">
        <v>224</v>
      </c>
      <c r="J4" s="1" t="s">
        <v>159</v>
      </c>
      <c r="K4" t="s">
        <v>226</v>
      </c>
      <c r="L4" t="s">
        <v>253</v>
      </c>
      <c r="M4" t="s">
        <v>225</v>
      </c>
      <c r="N4" t="s">
        <v>252</v>
      </c>
      <c r="O4" t="s">
        <v>22</v>
      </c>
      <c r="P4" t="s">
        <v>229</v>
      </c>
      <c r="Q4" t="s">
        <v>227</v>
      </c>
      <c r="R4" t="s">
        <v>202</v>
      </c>
      <c r="S4" t="s">
        <v>228</v>
      </c>
    </row>
    <row r="5" spans="1:19">
      <c r="A5" t="s">
        <v>248</v>
      </c>
      <c r="B5" t="s">
        <v>219</v>
      </c>
      <c r="C5" t="s">
        <v>249</v>
      </c>
      <c r="D5" t="s">
        <v>221</v>
      </c>
      <c r="E5" t="s">
        <v>250</v>
      </c>
      <c r="F5" t="str">
        <f>Components3[[#This Row],[Value]]</f>
        <v>10K</v>
      </c>
      <c r="G5" t="s">
        <v>251</v>
      </c>
      <c r="I5" t="s">
        <v>224</v>
      </c>
      <c r="J5" s="1" t="s">
        <v>159</v>
      </c>
      <c r="K5" t="s">
        <v>226</v>
      </c>
      <c r="L5" t="s">
        <v>253</v>
      </c>
      <c r="M5" t="s">
        <v>225</v>
      </c>
      <c r="N5" t="s">
        <v>252</v>
      </c>
      <c r="O5" t="s">
        <v>22</v>
      </c>
      <c r="P5" t="s">
        <v>254</v>
      </c>
      <c r="Q5" t="s">
        <v>255</v>
      </c>
      <c r="R5" t="s">
        <v>202</v>
      </c>
      <c r="S5" t="s">
        <v>228</v>
      </c>
    </row>
    <row r="6" spans="1:19">
      <c r="A6" t="s">
        <v>256</v>
      </c>
      <c r="B6" t="s">
        <v>219</v>
      </c>
      <c r="C6" t="s">
        <v>257</v>
      </c>
      <c r="D6" t="s">
        <v>221</v>
      </c>
      <c r="E6" t="s">
        <v>258</v>
      </c>
      <c r="F6" t="str">
        <f>Components3[[#This Row],[Value]]</f>
        <v>56K</v>
      </c>
      <c r="G6" t="s">
        <v>259</v>
      </c>
      <c r="I6" t="s">
        <v>224</v>
      </c>
      <c r="J6" s="1" t="s">
        <v>159</v>
      </c>
      <c r="K6" t="s">
        <v>226</v>
      </c>
      <c r="L6" t="s">
        <v>253</v>
      </c>
      <c r="M6" t="s">
        <v>225</v>
      </c>
      <c r="N6" t="s">
        <v>252</v>
      </c>
      <c r="O6" t="s">
        <v>22</v>
      </c>
      <c r="P6" t="s">
        <v>260</v>
      </c>
      <c r="Q6" t="s">
        <v>261</v>
      </c>
      <c r="R6" t="s">
        <v>202</v>
      </c>
      <c r="S6" t="s">
        <v>228</v>
      </c>
    </row>
    <row r="7" spans="1:19">
      <c r="A7" t="s">
        <v>279</v>
      </c>
      <c r="B7" t="s">
        <v>219</v>
      </c>
      <c r="C7" t="s">
        <v>280</v>
      </c>
      <c r="D7" t="s">
        <v>221</v>
      </c>
      <c r="E7">
        <v>220</v>
      </c>
      <c r="F7" s="6">
        <f>Components3[[#This Row],[Value]]</f>
        <v>220</v>
      </c>
      <c r="G7" s="7" t="s">
        <v>281</v>
      </c>
      <c r="I7" t="s">
        <v>224</v>
      </c>
      <c r="J7" s="1" t="s">
        <v>159</v>
      </c>
      <c r="K7" t="s">
        <v>226</v>
      </c>
      <c r="L7" t="s">
        <v>253</v>
      </c>
      <c r="M7" t="s">
        <v>225</v>
      </c>
      <c r="N7" t="s">
        <v>252</v>
      </c>
      <c r="O7" t="s">
        <v>22</v>
      </c>
      <c r="P7" t="s">
        <v>282</v>
      </c>
      <c r="Q7" t="s">
        <v>283</v>
      </c>
      <c r="R7" t="s">
        <v>202</v>
      </c>
      <c r="S7" t="s">
        <v>228</v>
      </c>
    </row>
    <row r="8" spans="1:19">
      <c r="A8" t="s">
        <v>285</v>
      </c>
      <c r="B8" t="s">
        <v>219</v>
      </c>
      <c r="C8" t="s">
        <v>286</v>
      </c>
      <c r="D8" t="s">
        <v>221</v>
      </c>
      <c r="E8">
        <v>360</v>
      </c>
      <c r="F8">
        <f>Components3[[#This Row],[Value]]</f>
        <v>360</v>
      </c>
      <c r="G8" t="s">
        <v>287</v>
      </c>
      <c r="I8" t="s">
        <v>224</v>
      </c>
      <c r="J8" t="s">
        <v>159</v>
      </c>
      <c r="K8" t="s">
        <v>226</v>
      </c>
      <c r="L8" t="s">
        <v>253</v>
      </c>
      <c r="M8" t="s">
        <v>225</v>
      </c>
      <c r="N8" t="s">
        <v>252</v>
      </c>
      <c r="O8" t="s">
        <v>22</v>
      </c>
      <c r="P8" t="s">
        <v>284</v>
      </c>
      <c r="Q8" t="s">
        <v>291</v>
      </c>
      <c r="R8" t="s">
        <v>202</v>
      </c>
      <c r="S8" t="s">
        <v>228</v>
      </c>
    </row>
    <row r="9" spans="1:19">
      <c r="A9" t="s">
        <v>288</v>
      </c>
      <c r="B9" t="s">
        <v>219</v>
      </c>
      <c r="C9" t="s">
        <v>289</v>
      </c>
      <c r="D9" t="s">
        <v>221</v>
      </c>
      <c r="E9">
        <v>470</v>
      </c>
      <c r="F9">
        <f>Components3[[#This Row],[Value]]</f>
        <v>470</v>
      </c>
      <c r="G9" t="s">
        <v>287</v>
      </c>
      <c r="I9" t="s">
        <v>224</v>
      </c>
      <c r="J9" t="s">
        <v>159</v>
      </c>
      <c r="K9" t="s">
        <v>226</v>
      </c>
      <c r="L9" t="s">
        <v>253</v>
      </c>
      <c r="M9" t="s">
        <v>225</v>
      </c>
      <c r="N9" t="s">
        <v>252</v>
      </c>
      <c r="O9" t="s">
        <v>22</v>
      </c>
      <c r="P9" t="s">
        <v>284</v>
      </c>
      <c r="Q9" t="s">
        <v>290</v>
      </c>
      <c r="R9" t="s">
        <v>202</v>
      </c>
      <c r="S9" t="s">
        <v>228</v>
      </c>
    </row>
    <row r="10" spans="1:19">
      <c r="A10" t="s">
        <v>311</v>
      </c>
      <c r="B10" t="s">
        <v>219</v>
      </c>
      <c r="C10" t="s">
        <v>312</v>
      </c>
      <c r="D10" t="s">
        <v>313</v>
      </c>
      <c r="E10">
        <v>47</v>
      </c>
      <c r="F10">
        <f>Components3[[#This Row],[Value]]</f>
        <v>47</v>
      </c>
      <c r="G10" t="s">
        <v>297</v>
      </c>
      <c r="I10" t="s">
        <v>204</v>
      </c>
      <c r="J10"/>
      <c r="K10" t="s">
        <v>314</v>
      </c>
      <c r="N10" t="s">
        <v>315</v>
      </c>
      <c r="O10" t="s">
        <v>22</v>
      </c>
      <c r="P10" t="s">
        <v>310</v>
      </c>
      <c r="Q10" t="s">
        <v>316</v>
      </c>
      <c r="R10" t="s">
        <v>202</v>
      </c>
      <c r="S10" t="s">
        <v>203</v>
      </c>
    </row>
    <row r="11" spans="1:19">
      <c r="A11" t="s">
        <v>335</v>
      </c>
      <c r="B11" t="s">
        <v>219</v>
      </c>
      <c r="C11" t="s">
        <v>336</v>
      </c>
      <c r="D11" t="s">
        <v>221</v>
      </c>
      <c r="E11">
        <v>120</v>
      </c>
      <c r="F11">
        <f>Components3[[#This Row],[Value]]</f>
        <v>120</v>
      </c>
      <c r="G11" t="s">
        <v>259</v>
      </c>
      <c r="I11" t="s">
        <v>224</v>
      </c>
      <c r="J11" t="s">
        <v>159</v>
      </c>
      <c r="K11" t="s">
        <v>226</v>
      </c>
      <c r="L11" t="s">
        <v>253</v>
      </c>
      <c r="M11" t="s">
        <v>225</v>
      </c>
      <c r="N11" t="s">
        <v>252</v>
      </c>
      <c r="O11" t="s">
        <v>22</v>
      </c>
      <c r="P11" t="s">
        <v>337</v>
      </c>
      <c r="Q11" t="s">
        <v>338</v>
      </c>
      <c r="R11" t="s">
        <v>202</v>
      </c>
      <c r="S11" t="s">
        <v>228</v>
      </c>
    </row>
    <row r="12" spans="1:19">
      <c r="A12" t="s">
        <v>501</v>
      </c>
      <c r="B12" t="s">
        <v>219</v>
      </c>
      <c r="C12" t="s">
        <v>502</v>
      </c>
      <c r="D12" t="s">
        <v>221</v>
      </c>
      <c r="E12" t="s">
        <v>250</v>
      </c>
      <c r="F12" s="6" t="str">
        <f>Components3[[#This Row],[Value]]</f>
        <v>10K</v>
      </c>
      <c r="G12" t="s">
        <v>259</v>
      </c>
      <c r="I12" t="s">
        <v>224</v>
      </c>
      <c r="J12" s="1" t="s">
        <v>159</v>
      </c>
      <c r="K12" t="s">
        <v>226</v>
      </c>
      <c r="L12" t="s">
        <v>253</v>
      </c>
      <c r="M12" t="s">
        <v>225</v>
      </c>
      <c r="N12" t="s">
        <v>252</v>
      </c>
      <c r="O12" t="s">
        <v>22</v>
      </c>
      <c r="P12" t="s">
        <v>254</v>
      </c>
      <c r="Q12" t="s">
        <v>503</v>
      </c>
      <c r="R12" t="s">
        <v>202</v>
      </c>
      <c r="S12" t="s">
        <v>228</v>
      </c>
    </row>
    <row r="13" spans="1:19">
      <c r="A13" t="s">
        <v>505</v>
      </c>
      <c r="B13" t="s">
        <v>219</v>
      </c>
      <c r="C13" t="s">
        <v>506</v>
      </c>
      <c r="D13" t="s">
        <v>221</v>
      </c>
      <c r="E13">
        <v>0</v>
      </c>
      <c r="F13" s="6">
        <f>Components3[[#This Row],[Value]]</f>
        <v>0</v>
      </c>
      <c r="G13" t="s">
        <v>259</v>
      </c>
      <c r="I13" t="s">
        <v>224</v>
      </c>
      <c r="J13" s="1" t="s">
        <v>159</v>
      </c>
      <c r="K13" t="s">
        <v>226</v>
      </c>
      <c r="L13" t="s">
        <v>253</v>
      </c>
      <c r="M13" t="s">
        <v>225</v>
      </c>
      <c r="N13" t="s">
        <v>252</v>
      </c>
      <c r="O13" t="s">
        <v>22</v>
      </c>
      <c r="P13" t="s">
        <v>504</v>
      </c>
      <c r="Q13" t="s">
        <v>507</v>
      </c>
      <c r="R13" t="s">
        <v>202</v>
      </c>
      <c r="S13" t="s">
        <v>228</v>
      </c>
    </row>
    <row r="14" spans="1:19">
      <c r="A14" t="s">
        <v>538</v>
      </c>
      <c r="B14" t="s">
        <v>539</v>
      </c>
      <c r="C14" t="s">
        <v>540</v>
      </c>
      <c r="D14" t="s">
        <v>541</v>
      </c>
      <c r="E14" t="s">
        <v>618</v>
      </c>
      <c r="F14" t="str">
        <f>Components3[[#This Row],[Value]]</f>
        <v>50K</v>
      </c>
      <c r="G14" t="s">
        <v>110</v>
      </c>
      <c r="I14" t="s">
        <v>542</v>
      </c>
      <c r="K14" t="s">
        <v>543</v>
      </c>
      <c r="N14" t="s">
        <v>544</v>
      </c>
      <c r="O14" t="s">
        <v>22</v>
      </c>
      <c r="Q14" t="s">
        <v>546</v>
      </c>
      <c r="R14" t="s">
        <v>547</v>
      </c>
      <c r="S14" s="3"/>
    </row>
    <row r="15" spans="1:19">
      <c r="A15" t="s">
        <v>548</v>
      </c>
      <c r="B15" t="s">
        <v>549</v>
      </c>
      <c r="C15" t="s">
        <v>550</v>
      </c>
      <c r="D15" t="s">
        <v>541</v>
      </c>
      <c r="E15" t="s">
        <v>618</v>
      </c>
      <c r="F15" t="str">
        <f>Components3[[#This Row],[Value]]</f>
        <v>50K</v>
      </c>
      <c r="G15" t="s">
        <v>110</v>
      </c>
      <c r="I15" t="s">
        <v>542</v>
      </c>
      <c r="J15"/>
      <c r="K15" t="s">
        <v>543</v>
      </c>
      <c r="N15" t="s">
        <v>544</v>
      </c>
      <c r="O15" t="s">
        <v>22</v>
      </c>
      <c r="P15" t="s">
        <v>545</v>
      </c>
      <c r="Q15" t="s">
        <v>551</v>
      </c>
      <c r="R15" t="s">
        <v>547</v>
      </c>
      <c r="S15" t="s">
        <v>548</v>
      </c>
    </row>
    <row r="16" spans="1:19">
      <c r="A16" t="s">
        <v>615</v>
      </c>
      <c r="B16" t="s">
        <v>616</v>
      </c>
      <c r="C16" t="s">
        <v>617</v>
      </c>
      <c r="D16" t="s">
        <v>313</v>
      </c>
      <c r="E16" t="s">
        <v>250</v>
      </c>
      <c r="F16" s="6" t="str">
        <f>Components3[[#This Row],[Value]]</f>
        <v>10K</v>
      </c>
      <c r="G16" t="s">
        <v>619</v>
      </c>
      <c r="I16" t="s">
        <v>620</v>
      </c>
      <c r="J16"/>
      <c r="K16" t="s">
        <v>622</v>
      </c>
      <c r="N16" t="s">
        <v>621</v>
      </c>
      <c r="O16" t="s">
        <v>22</v>
      </c>
      <c r="P16" t="s">
        <v>624</v>
      </c>
      <c r="Q16" t="s">
        <v>623</v>
      </c>
      <c r="R16" t="s">
        <v>202</v>
      </c>
      <c r="S16" t="s">
        <v>625</v>
      </c>
    </row>
    <row r="17" spans="1:19">
      <c r="A17" t="s">
        <v>626</v>
      </c>
      <c r="B17" t="s">
        <v>627</v>
      </c>
      <c r="C17" t="s">
        <v>628</v>
      </c>
      <c r="D17" t="s">
        <v>313</v>
      </c>
      <c r="E17" t="s">
        <v>629</v>
      </c>
      <c r="F17" s="6" t="str">
        <f>Components3[[#This Row],[Value]]</f>
        <v>4.7K</v>
      </c>
      <c r="G17" t="s">
        <v>259</v>
      </c>
      <c r="I17" t="s">
        <v>620</v>
      </c>
      <c r="K17" t="s">
        <v>622</v>
      </c>
      <c r="N17" t="s">
        <v>621</v>
      </c>
      <c r="O17" t="s">
        <v>22</v>
      </c>
      <c r="P17" t="s">
        <v>631</v>
      </c>
      <c r="Q17" t="s">
        <v>630</v>
      </c>
      <c r="R17" t="s">
        <v>202</v>
      </c>
      <c r="S17" t="s">
        <v>625</v>
      </c>
    </row>
    <row r="18" spans="1:19">
      <c r="A18" t="s">
        <v>663</v>
      </c>
      <c r="B18" t="s">
        <v>539</v>
      </c>
      <c r="C18" t="s">
        <v>664</v>
      </c>
      <c r="D18" t="s">
        <v>541</v>
      </c>
      <c r="E18" t="s">
        <v>250</v>
      </c>
      <c r="F18" s="6" t="str">
        <f>Components3[[#This Row],[Value]]</f>
        <v>10K</v>
      </c>
      <c r="G18" t="s">
        <v>110</v>
      </c>
      <c r="I18" t="s">
        <v>542</v>
      </c>
      <c r="J18" s="1" t="s">
        <v>661</v>
      </c>
      <c r="K18" t="s">
        <v>573</v>
      </c>
      <c r="N18" t="s">
        <v>660</v>
      </c>
      <c r="O18" t="s">
        <v>22</v>
      </c>
      <c r="P18" t="s">
        <v>659</v>
      </c>
      <c r="Q18" t="s">
        <v>665</v>
      </c>
      <c r="R18" t="s">
        <v>662</v>
      </c>
      <c r="S18" t="s">
        <v>666</v>
      </c>
    </row>
    <row r="19" spans="1:19">
      <c r="A19" t="s">
        <v>693</v>
      </c>
      <c r="B19" t="s">
        <v>219</v>
      </c>
      <c r="C19" t="s">
        <v>694</v>
      </c>
      <c r="D19" t="s">
        <v>221</v>
      </c>
      <c r="E19" t="s">
        <v>250</v>
      </c>
      <c r="F19" s="6" t="str">
        <f>Components3[[#This Row],[Value]]</f>
        <v>10K</v>
      </c>
      <c r="G19" t="s">
        <v>259</v>
      </c>
      <c r="I19" t="s">
        <v>695</v>
      </c>
      <c r="J19" s="1" t="s">
        <v>243</v>
      </c>
      <c r="K19" t="s">
        <v>708</v>
      </c>
      <c r="L19" t="s">
        <v>381</v>
      </c>
      <c r="M19" t="s">
        <v>382</v>
      </c>
      <c r="N19" t="s">
        <v>244</v>
      </c>
      <c r="O19" t="s">
        <v>22</v>
      </c>
      <c r="P19" t="s">
        <v>697</v>
      </c>
      <c r="Q19" t="s">
        <v>696</v>
      </c>
      <c r="R19" t="s">
        <v>202</v>
      </c>
      <c r="S19" t="s">
        <v>698</v>
      </c>
    </row>
    <row r="20" spans="1:19">
      <c r="A20" t="s">
        <v>690</v>
      </c>
      <c r="B20" t="s">
        <v>219</v>
      </c>
      <c r="C20" t="s">
        <v>249</v>
      </c>
      <c r="D20" t="s">
        <v>221</v>
      </c>
      <c r="E20" t="s">
        <v>250</v>
      </c>
      <c r="F20" s="6" t="str">
        <f>Components3[[#This Row],[Value]]</f>
        <v>10K</v>
      </c>
      <c r="G20" t="s">
        <v>259</v>
      </c>
      <c r="I20" t="s">
        <v>691</v>
      </c>
      <c r="J20" s="1" t="s">
        <v>159</v>
      </c>
      <c r="K20" t="s">
        <v>226</v>
      </c>
      <c r="L20" t="s">
        <v>253</v>
      </c>
      <c r="M20" t="s">
        <v>225</v>
      </c>
      <c r="N20" t="s">
        <v>252</v>
      </c>
      <c r="O20" t="s">
        <v>22</v>
      </c>
      <c r="P20" t="s">
        <v>707</v>
      </c>
      <c r="Q20" t="s">
        <v>692</v>
      </c>
      <c r="R20" t="s">
        <v>202</v>
      </c>
      <c r="S20" t="s">
        <v>228</v>
      </c>
    </row>
    <row r="21" spans="1:19">
      <c r="A21" t="s">
        <v>709</v>
      </c>
      <c r="B21" t="s">
        <v>219</v>
      </c>
      <c r="C21" t="s">
        <v>710</v>
      </c>
      <c r="D21" t="s">
        <v>221</v>
      </c>
      <c r="E21">
        <v>100</v>
      </c>
      <c r="F21" s="6">
        <f>Components3[[#This Row],[Value]]</f>
        <v>100</v>
      </c>
      <c r="G21" t="s">
        <v>259</v>
      </c>
      <c r="I21" s="1" t="s">
        <v>695</v>
      </c>
      <c r="J21" s="1" t="s">
        <v>243</v>
      </c>
      <c r="K21" t="s">
        <v>708</v>
      </c>
      <c r="L21" t="s">
        <v>381</v>
      </c>
      <c r="M21" t="s">
        <v>382</v>
      </c>
      <c r="N21" t="s">
        <v>244</v>
      </c>
      <c r="O21" t="s">
        <v>22</v>
      </c>
      <c r="P21" t="s">
        <v>712</v>
      </c>
      <c r="Q21" t="s">
        <v>711</v>
      </c>
      <c r="R21" t="s">
        <v>202</v>
      </c>
      <c r="S21" t="s">
        <v>698</v>
      </c>
    </row>
    <row r="22" spans="1:19">
      <c r="A22" t="s">
        <v>713</v>
      </c>
      <c r="B22" t="s">
        <v>714</v>
      </c>
      <c r="C22" t="s">
        <v>715</v>
      </c>
      <c r="D22" t="s">
        <v>313</v>
      </c>
      <c r="E22" t="s">
        <v>250</v>
      </c>
      <c r="F22" s="6" t="str">
        <f>Components3[[#This Row],[Value]]</f>
        <v>10K</v>
      </c>
      <c r="G22" t="s">
        <v>297</v>
      </c>
      <c r="I22" t="s">
        <v>620</v>
      </c>
      <c r="J22" s="1" t="s">
        <v>717</v>
      </c>
      <c r="K22" t="s">
        <v>718</v>
      </c>
      <c r="N22" t="s">
        <v>716</v>
      </c>
      <c r="O22" t="s">
        <v>22</v>
      </c>
      <c r="P22" t="s">
        <v>720</v>
      </c>
      <c r="Q22" t="s">
        <v>719</v>
      </c>
      <c r="R22" t="s">
        <v>202</v>
      </c>
      <c r="S22" t="s">
        <v>721</v>
      </c>
    </row>
    <row r="23" spans="1:19">
      <c r="A23" t="s">
        <v>763</v>
      </c>
      <c r="B23" t="s">
        <v>219</v>
      </c>
      <c r="C23" t="s">
        <v>764</v>
      </c>
      <c r="D23" t="s">
        <v>221</v>
      </c>
      <c r="E23" t="s">
        <v>250</v>
      </c>
      <c r="F23" s="6" t="str">
        <f>Components3[[#This Row],[Value]]</f>
        <v>10K</v>
      </c>
      <c r="G23" t="s">
        <v>259</v>
      </c>
      <c r="I23" t="s">
        <v>620</v>
      </c>
      <c r="J23" s="1" t="s">
        <v>765</v>
      </c>
      <c r="K23" t="s">
        <v>767</v>
      </c>
      <c r="L23" t="s">
        <v>768</v>
      </c>
      <c r="M23" t="s">
        <v>769</v>
      </c>
      <c r="N23" t="s">
        <v>766</v>
      </c>
      <c r="O23" t="s">
        <v>22</v>
      </c>
      <c r="P23" t="s">
        <v>762</v>
      </c>
      <c r="Q23" t="s">
        <v>770</v>
      </c>
      <c r="R23" t="s">
        <v>202</v>
      </c>
      <c r="S23" t="s">
        <v>771</v>
      </c>
    </row>
    <row r="24" spans="1:19">
      <c r="A24" t="s">
        <v>772</v>
      </c>
      <c r="B24" t="s">
        <v>219</v>
      </c>
      <c r="C24" t="s">
        <v>773</v>
      </c>
      <c r="D24" t="s">
        <v>221</v>
      </c>
      <c r="E24" t="s">
        <v>774</v>
      </c>
      <c r="F24" s="6" t="str">
        <f>Components3[[#This Row],[Value]]</f>
        <v>1K</v>
      </c>
      <c r="G24" t="s">
        <v>259</v>
      </c>
      <c r="I24" t="s">
        <v>695</v>
      </c>
      <c r="J24" s="1" t="s">
        <v>243</v>
      </c>
      <c r="K24" t="s">
        <v>775</v>
      </c>
      <c r="L24" t="s">
        <v>381</v>
      </c>
      <c r="M24" t="s">
        <v>382</v>
      </c>
      <c r="N24" t="s">
        <v>244</v>
      </c>
      <c r="O24" t="s">
        <v>22</v>
      </c>
      <c r="P24" t="s">
        <v>776</v>
      </c>
      <c r="Q24" t="s">
        <v>777</v>
      </c>
      <c r="R24" t="s">
        <v>202</v>
      </c>
      <c r="S24" t="s">
        <v>698</v>
      </c>
    </row>
    <row r="25" spans="1:19">
      <c r="A25" t="s">
        <v>778</v>
      </c>
      <c r="B25" t="s">
        <v>219</v>
      </c>
      <c r="C25" t="s">
        <v>779</v>
      </c>
      <c r="D25" t="s">
        <v>221</v>
      </c>
      <c r="E25">
        <v>100</v>
      </c>
      <c r="F25" s="6">
        <f>Components3[[#This Row],[Value]]</f>
        <v>100</v>
      </c>
      <c r="G25" t="s">
        <v>259</v>
      </c>
      <c r="I25" t="s">
        <v>620</v>
      </c>
      <c r="J25" s="1" t="s">
        <v>765</v>
      </c>
      <c r="K25" t="s">
        <v>767</v>
      </c>
      <c r="L25" t="s">
        <v>768</v>
      </c>
      <c r="M25" t="s">
        <v>769</v>
      </c>
      <c r="N25" t="s">
        <v>766</v>
      </c>
      <c r="O25" t="s">
        <v>22</v>
      </c>
      <c r="P25" t="s">
        <v>781</v>
      </c>
      <c r="Q25" t="s">
        <v>780</v>
      </c>
      <c r="R25" t="s">
        <v>202</v>
      </c>
      <c r="S25" t="s">
        <v>771</v>
      </c>
    </row>
    <row r="26" spans="1:19">
      <c r="A26" t="s">
        <v>816</v>
      </c>
      <c r="B26" t="s">
        <v>219</v>
      </c>
      <c r="C26" t="s">
        <v>817</v>
      </c>
      <c r="D26" t="s">
        <v>221</v>
      </c>
      <c r="E26" t="s">
        <v>250</v>
      </c>
      <c r="F26" s="6" t="str">
        <f>Components3[[#This Row],[Value]]</f>
        <v>10K</v>
      </c>
      <c r="G26" t="s">
        <v>259</v>
      </c>
      <c r="I26" t="s">
        <v>818</v>
      </c>
      <c r="J26" s="1" t="s">
        <v>819</v>
      </c>
      <c r="K26" t="s">
        <v>103</v>
      </c>
      <c r="L26" t="s">
        <v>767</v>
      </c>
      <c r="M26" t="s">
        <v>769</v>
      </c>
      <c r="N26" t="s">
        <v>820</v>
      </c>
      <c r="O26" t="s">
        <v>22</v>
      </c>
      <c r="P26" t="s">
        <v>823</v>
      </c>
      <c r="Q26" t="s">
        <v>821</v>
      </c>
      <c r="R26" t="s">
        <v>202</v>
      </c>
      <c r="S26" t="s">
        <v>822</v>
      </c>
    </row>
    <row r="27" spans="1:19">
      <c r="A27" t="s">
        <v>852</v>
      </c>
      <c r="B27" t="s">
        <v>219</v>
      </c>
      <c r="C27" t="s">
        <v>853</v>
      </c>
      <c r="D27" t="s">
        <v>221</v>
      </c>
      <c r="E27" t="s">
        <v>629</v>
      </c>
      <c r="F27" s="6" t="str">
        <f>Components3[[#This Row],[Value]]</f>
        <v>4.7K</v>
      </c>
      <c r="G27" t="s">
        <v>297</v>
      </c>
      <c r="I27" t="s">
        <v>695</v>
      </c>
      <c r="J27" s="1" t="s">
        <v>243</v>
      </c>
      <c r="K27" t="s">
        <v>708</v>
      </c>
      <c r="L27" t="s">
        <v>381</v>
      </c>
      <c r="M27" t="s">
        <v>854</v>
      </c>
      <c r="N27" t="s">
        <v>244</v>
      </c>
      <c r="O27" t="s">
        <v>22</v>
      </c>
      <c r="P27" s="1" t="s">
        <v>856</v>
      </c>
      <c r="Q27" s="1" t="s">
        <v>855</v>
      </c>
      <c r="R27" t="s">
        <v>202</v>
      </c>
      <c r="S27" t="s">
        <v>698</v>
      </c>
    </row>
    <row r="28" spans="1:19">
      <c r="A28" t="s">
        <v>858</v>
      </c>
      <c r="B28" t="s">
        <v>219</v>
      </c>
      <c r="C28" t="s">
        <v>859</v>
      </c>
      <c r="D28" t="s">
        <v>221</v>
      </c>
      <c r="E28">
        <v>0</v>
      </c>
      <c r="F28" s="6">
        <f>Components3[[#This Row],[Value]]</f>
        <v>0</v>
      </c>
      <c r="J28" s="1" t="s">
        <v>243</v>
      </c>
      <c r="K28" t="s">
        <v>708</v>
      </c>
      <c r="L28" t="s">
        <v>381</v>
      </c>
      <c r="M28" t="s">
        <v>854</v>
      </c>
      <c r="N28" t="s">
        <v>244</v>
      </c>
      <c r="O28" t="s">
        <v>22</v>
      </c>
      <c r="P28" s="1" t="s">
        <v>857</v>
      </c>
      <c r="Q28" s="1" t="s">
        <v>860</v>
      </c>
      <c r="R28" t="s">
        <v>202</v>
      </c>
      <c r="S28" t="s">
        <v>698</v>
      </c>
    </row>
    <row r="29" spans="1:19">
      <c r="A29" t="s">
        <v>867</v>
      </c>
      <c r="B29" t="s">
        <v>539</v>
      </c>
      <c r="C29" t="s">
        <v>868</v>
      </c>
      <c r="D29" t="s">
        <v>188</v>
      </c>
      <c r="E29" t="s">
        <v>870</v>
      </c>
      <c r="F29" s="6" t="str">
        <f>Components3[[#This Row],[Value]]</f>
        <v>560V</v>
      </c>
      <c r="J29" s="1" t="s">
        <v>869</v>
      </c>
      <c r="O29" t="s">
        <v>22</v>
      </c>
      <c r="P29" s="1" t="s">
        <v>884</v>
      </c>
      <c r="Q29" s="1" t="s">
        <v>883</v>
      </c>
      <c r="R29" t="s">
        <v>882</v>
      </c>
      <c r="S29" t="s">
        <v>881</v>
      </c>
    </row>
    <row r="30" spans="1:19">
      <c r="A30" t="s">
        <v>903</v>
      </c>
      <c r="B30" t="s">
        <v>904</v>
      </c>
      <c r="C30" t="s">
        <v>905</v>
      </c>
      <c r="D30" t="s">
        <v>906</v>
      </c>
      <c r="E30">
        <v>5</v>
      </c>
      <c r="F30" s="6">
        <f>Components3[[#This Row],[Value]]</f>
        <v>5</v>
      </c>
      <c r="G30" t="s">
        <v>110</v>
      </c>
      <c r="I30" t="s">
        <v>204</v>
      </c>
      <c r="J30" s="1" t="s">
        <v>907</v>
      </c>
      <c r="O30" t="s">
        <v>22</v>
      </c>
      <c r="P30" s="1" t="s">
        <v>909</v>
      </c>
      <c r="Q30" s="1" t="s">
        <v>908</v>
      </c>
      <c r="R30" t="s">
        <v>910</v>
      </c>
      <c r="S30" t="s">
        <v>911</v>
      </c>
    </row>
    <row r="31" spans="1:19">
      <c r="A31" t="s">
        <v>920</v>
      </c>
      <c r="B31" t="s">
        <v>219</v>
      </c>
      <c r="C31" t="s">
        <v>921</v>
      </c>
      <c r="D31" t="s">
        <v>221</v>
      </c>
      <c r="E31" t="s">
        <v>922</v>
      </c>
      <c r="F31" s="6" t="str">
        <f>Components3[[#This Row],[Value]]</f>
        <v>470K</v>
      </c>
      <c r="G31" t="s">
        <v>259</v>
      </c>
      <c r="I31" t="s">
        <v>620</v>
      </c>
      <c r="J31" s="1" t="s">
        <v>765</v>
      </c>
      <c r="K31" t="s">
        <v>767</v>
      </c>
      <c r="L31" t="s">
        <v>768</v>
      </c>
      <c r="M31" t="s">
        <v>769</v>
      </c>
      <c r="N31" t="s">
        <v>766</v>
      </c>
      <c r="O31" t="s">
        <v>22</v>
      </c>
      <c r="P31" s="1" t="s">
        <v>924</v>
      </c>
      <c r="Q31" s="1" t="s">
        <v>923</v>
      </c>
      <c r="R31" t="s">
        <v>202</v>
      </c>
      <c r="S31" t="s">
        <v>771</v>
      </c>
    </row>
    <row r="32" spans="1:19">
      <c r="A32" t="s">
        <v>925</v>
      </c>
      <c r="B32" t="s">
        <v>219</v>
      </c>
      <c r="C32" t="s">
        <v>926</v>
      </c>
      <c r="D32" t="s">
        <v>221</v>
      </c>
      <c r="E32" t="s">
        <v>927</v>
      </c>
      <c r="F32" s="6" t="str">
        <f>Components3[[#This Row],[Value]]</f>
        <v>1R1</v>
      </c>
      <c r="G32" t="s">
        <v>259</v>
      </c>
      <c r="I32" t="s">
        <v>620</v>
      </c>
      <c r="J32" s="1" t="s">
        <v>765</v>
      </c>
      <c r="K32" t="s">
        <v>767</v>
      </c>
      <c r="L32" t="s">
        <v>768</v>
      </c>
      <c r="M32" t="s">
        <v>769</v>
      </c>
      <c r="N32" t="s">
        <v>766</v>
      </c>
      <c r="O32" t="s">
        <v>22</v>
      </c>
      <c r="P32" s="1"/>
      <c r="Q32" s="1" t="s">
        <v>928</v>
      </c>
      <c r="R32" t="s">
        <v>202</v>
      </c>
      <c r="S32" t="s">
        <v>771</v>
      </c>
    </row>
    <row r="33" spans="1:19">
      <c r="A33" t="s">
        <v>929</v>
      </c>
      <c r="B33" t="s">
        <v>219</v>
      </c>
      <c r="C33" t="s">
        <v>930</v>
      </c>
      <c r="D33" t="s">
        <v>221</v>
      </c>
      <c r="E33" t="s">
        <v>931</v>
      </c>
      <c r="F33" s="6" t="str">
        <f>Components3[[#This Row],[Value]]</f>
        <v>47K</v>
      </c>
      <c r="G33" t="s">
        <v>259</v>
      </c>
      <c r="I33" t="s">
        <v>620</v>
      </c>
      <c r="J33" s="1" t="s">
        <v>765</v>
      </c>
      <c r="K33" t="s">
        <v>767</v>
      </c>
      <c r="L33" t="s">
        <v>768</v>
      </c>
      <c r="M33" t="s">
        <v>769</v>
      </c>
      <c r="N33" t="s">
        <v>766</v>
      </c>
      <c r="O33" t="s">
        <v>22</v>
      </c>
      <c r="P33" s="1" t="s">
        <v>933</v>
      </c>
      <c r="Q33" s="1" t="s">
        <v>932</v>
      </c>
      <c r="R33" t="s">
        <v>202</v>
      </c>
      <c r="S33" t="s">
        <v>771</v>
      </c>
    </row>
    <row r="34" spans="1:19">
      <c r="A34" t="s">
        <v>934</v>
      </c>
      <c r="B34" t="s">
        <v>219</v>
      </c>
      <c r="C34" t="s">
        <v>935</v>
      </c>
      <c r="D34" t="s">
        <v>221</v>
      </c>
      <c r="E34">
        <v>100</v>
      </c>
      <c r="F34" s="6">
        <f>Components3[[#This Row],[Value]]</f>
        <v>100</v>
      </c>
      <c r="G34" t="s">
        <v>297</v>
      </c>
      <c r="I34" t="s">
        <v>204</v>
      </c>
      <c r="J34" s="1" t="s">
        <v>819</v>
      </c>
      <c r="K34" t="s">
        <v>103</v>
      </c>
      <c r="L34" t="s">
        <v>936</v>
      </c>
      <c r="M34" t="s">
        <v>769</v>
      </c>
      <c r="N34" t="s">
        <v>820</v>
      </c>
      <c r="O34" t="s">
        <v>22</v>
      </c>
      <c r="P34" t="s">
        <v>938</v>
      </c>
      <c r="Q34" t="s">
        <v>937</v>
      </c>
      <c r="R34" t="s">
        <v>202</v>
      </c>
      <c r="S34" t="s">
        <v>822</v>
      </c>
    </row>
    <row r="35" spans="1:19">
      <c r="A35" t="s">
        <v>947</v>
      </c>
      <c r="B35" t="s">
        <v>219</v>
      </c>
      <c r="C35" t="s">
        <v>948</v>
      </c>
      <c r="D35" t="s">
        <v>221</v>
      </c>
      <c r="E35">
        <v>10</v>
      </c>
      <c r="F35" s="6">
        <f>Components3[[#This Row],[Value]]</f>
        <v>10</v>
      </c>
      <c r="G35" t="s">
        <v>259</v>
      </c>
      <c r="I35" t="s">
        <v>620</v>
      </c>
      <c r="J35" s="1" t="s">
        <v>765</v>
      </c>
      <c r="K35" t="s">
        <v>767</v>
      </c>
      <c r="L35" t="s">
        <v>768</v>
      </c>
      <c r="M35" t="s">
        <v>769</v>
      </c>
      <c r="N35" t="s">
        <v>766</v>
      </c>
      <c r="O35" t="s">
        <v>22</v>
      </c>
      <c r="P35" t="s">
        <v>950</v>
      </c>
      <c r="Q35" t="s">
        <v>949</v>
      </c>
      <c r="R35" t="s">
        <v>202</v>
      </c>
      <c r="S35" t="s">
        <v>771</v>
      </c>
    </row>
    <row r="36" spans="1:19">
      <c r="A36" t="s">
        <v>999</v>
      </c>
      <c r="B36" t="s">
        <v>219</v>
      </c>
      <c r="C36" t="s">
        <v>1000</v>
      </c>
      <c r="D36" t="s">
        <v>221</v>
      </c>
      <c r="E36">
        <v>200</v>
      </c>
      <c r="F36" s="6">
        <f>Components3[[#This Row],[Value]]</f>
        <v>200</v>
      </c>
      <c r="G36" t="s">
        <v>259</v>
      </c>
      <c r="I36" t="s">
        <v>620</v>
      </c>
      <c r="J36" s="1" t="s">
        <v>765</v>
      </c>
      <c r="K36" t="s">
        <v>767</v>
      </c>
      <c r="L36" t="s">
        <v>768</v>
      </c>
      <c r="M36" t="s">
        <v>769</v>
      </c>
      <c r="N36" t="s">
        <v>766</v>
      </c>
      <c r="O36" t="s">
        <v>22</v>
      </c>
      <c r="P36" t="s">
        <v>1002</v>
      </c>
      <c r="Q36" t="s">
        <v>1001</v>
      </c>
      <c r="R36" t="s">
        <v>202</v>
      </c>
      <c r="S36" t="s">
        <v>771</v>
      </c>
    </row>
    <row r="37" spans="1:19">
      <c r="A37" t="s">
        <v>1010</v>
      </c>
      <c r="B37" t="s">
        <v>219</v>
      </c>
      <c r="C37" t="s">
        <v>1011</v>
      </c>
      <c r="D37" t="s">
        <v>221</v>
      </c>
      <c r="E37" t="s">
        <v>774</v>
      </c>
      <c r="F37" s="6" t="str">
        <f>Components3[[#This Row],[Value]]</f>
        <v>1K</v>
      </c>
      <c r="G37" t="s">
        <v>297</v>
      </c>
      <c r="I37" t="s">
        <v>695</v>
      </c>
      <c r="J37" s="1" t="s">
        <v>243</v>
      </c>
      <c r="K37" t="s">
        <v>708</v>
      </c>
      <c r="L37" t="s">
        <v>381</v>
      </c>
      <c r="M37" t="s">
        <v>854</v>
      </c>
      <c r="N37" t="s">
        <v>244</v>
      </c>
      <c r="O37" t="s">
        <v>22</v>
      </c>
      <c r="P37" t="s">
        <v>776</v>
      </c>
      <c r="Q37" t="s">
        <v>1012</v>
      </c>
      <c r="R37" t="s">
        <v>202</v>
      </c>
      <c r="S37" t="s">
        <v>698</v>
      </c>
    </row>
    <row r="38" spans="1:19">
      <c r="A38" t="s">
        <v>1013</v>
      </c>
      <c r="B38" t="s">
        <v>219</v>
      </c>
      <c r="C38" t="s">
        <v>1014</v>
      </c>
      <c r="D38" t="s">
        <v>221</v>
      </c>
      <c r="E38">
        <v>330</v>
      </c>
      <c r="F38" s="6">
        <f>Components3[[#This Row],[Value]]</f>
        <v>330</v>
      </c>
      <c r="G38" t="s">
        <v>259</v>
      </c>
      <c r="I38" t="s">
        <v>695</v>
      </c>
      <c r="J38" s="1" t="s">
        <v>243</v>
      </c>
      <c r="K38" t="s">
        <v>708</v>
      </c>
      <c r="L38" t="s">
        <v>381</v>
      </c>
      <c r="M38" t="s">
        <v>854</v>
      </c>
      <c r="N38" t="s">
        <v>244</v>
      </c>
      <c r="O38" t="s">
        <v>22</v>
      </c>
      <c r="P38" t="s">
        <v>1016</v>
      </c>
      <c r="Q38" t="s">
        <v>1015</v>
      </c>
      <c r="R38" t="s">
        <v>202</v>
      </c>
      <c r="S38" t="s">
        <v>698</v>
      </c>
    </row>
    <row r="39" spans="1:19">
      <c r="A39" t="s">
        <v>1080</v>
      </c>
      <c r="B39" t="s">
        <v>219</v>
      </c>
      <c r="C39" t="s">
        <v>1081</v>
      </c>
      <c r="D39" t="s">
        <v>221</v>
      </c>
      <c r="E39">
        <v>0</v>
      </c>
      <c r="F39" s="6">
        <f>Components3[[#This Row],[Value]]</f>
        <v>0</v>
      </c>
      <c r="I39" t="s">
        <v>1082</v>
      </c>
      <c r="J39" s="1" t="s">
        <v>942</v>
      </c>
      <c r="K39" t="s">
        <v>936</v>
      </c>
      <c r="L39" t="s">
        <v>609</v>
      </c>
      <c r="M39" t="s">
        <v>769</v>
      </c>
      <c r="N39" t="s">
        <v>1083</v>
      </c>
      <c r="O39" t="s">
        <v>22</v>
      </c>
      <c r="Q39" t="s">
        <v>1084</v>
      </c>
      <c r="R39" t="s">
        <v>202</v>
      </c>
      <c r="S39" t="s">
        <v>1085</v>
      </c>
    </row>
    <row r="40" spans="1:19">
      <c r="A40" t="s">
        <v>1095</v>
      </c>
      <c r="B40" t="s">
        <v>714</v>
      </c>
      <c r="C40" t="s">
        <v>1096</v>
      </c>
      <c r="D40" t="s">
        <v>221</v>
      </c>
      <c r="E40" t="s">
        <v>774</v>
      </c>
      <c r="F40" s="6" t="str">
        <f>Components3[[#This Row],[Value]]</f>
        <v>1K</v>
      </c>
      <c r="G40" t="s">
        <v>259</v>
      </c>
      <c r="I40" t="s">
        <v>620</v>
      </c>
      <c r="J40" s="1" t="s">
        <v>243</v>
      </c>
      <c r="K40" t="s">
        <v>708</v>
      </c>
      <c r="L40" t="s">
        <v>381</v>
      </c>
      <c r="M40" t="s">
        <v>854</v>
      </c>
      <c r="N40" t="s">
        <v>244</v>
      </c>
      <c r="O40" t="s">
        <v>22</v>
      </c>
      <c r="P40" t="s">
        <v>776</v>
      </c>
      <c r="Q40" t="s">
        <v>1097</v>
      </c>
      <c r="R40" t="s">
        <v>202</v>
      </c>
      <c r="S40" t="s">
        <v>698</v>
      </c>
    </row>
    <row r="41" spans="1:19">
      <c r="A41" t="s">
        <v>1102</v>
      </c>
      <c r="B41" t="s">
        <v>714</v>
      </c>
      <c r="C41" t="s">
        <v>1103</v>
      </c>
      <c r="D41" t="s">
        <v>221</v>
      </c>
      <c r="E41">
        <v>330</v>
      </c>
      <c r="F41" s="6">
        <f>Components3[[#This Row],[Value]]</f>
        <v>330</v>
      </c>
      <c r="G41" t="s">
        <v>259</v>
      </c>
      <c r="I41" t="s">
        <v>695</v>
      </c>
      <c r="J41" s="1" t="s">
        <v>243</v>
      </c>
      <c r="K41" t="s">
        <v>708</v>
      </c>
      <c r="L41" t="s">
        <v>381</v>
      </c>
      <c r="M41" t="s">
        <v>854</v>
      </c>
      <c r="N41" t="s">
        <v>244</v>
      </c>
      <c r="O41" t="s">
        <v>22</v>
      </c>
      <c r="P41" t="s">
        <v>1105</v>
      </c>
      <c r="Q41" t="s">
        <v>1104</v>
      </c>
      <c r="R41" t="s">
        <v>202</v>
      </c>
      <c r="S41" t="s">
        <v>698</v>
      </c>
    </row>
    <row r="42" spans="1:19">
      <c r="F42" s="6">
        <f>Components3[[#This Row],[Value]]</f>
        <v>0</v>
      </c>
    </row>
  </sheetData>
  <hyperlinks>
    <hyperlink ref="I4" r:id="rId1" display="https://www.digikey.com/en/products/filter/chip-resistor-surface-mount/0-1w-1-10w/52?s=N4IgjCBcoExaBjKAzAhgGwM4FMA0IA3AOygBcAnAVzxAHsoBtcAFgAYA2ZkAXXwAdSUEAGUKASyIBzEAF85QA"/>
    <hyperlink ref="D5" r:id="rId2" display="https://www.digikey.com/en/products/filter/chip-resistor-surface-mount/52"/>
    <hyperlink ref="I5" r:id="rId3" display="https://www.digikey.com/en/products/filter/chip-resistor-surface-mount/0-1w-1-10w/52?s=N4IgjCBcoExaBjKAzAhgGwM4FMA0IA3AOygBcAnAVzxAHsoBtcAFgAYA2ZkAXXwAdSUEAGUKASyIBzEAF85QA"/>
    <hyperlink ref="D6" r:id="rId4" display="https://www.digikey.com/en/products/filter/chip-resistor-surface-mount/52"/>
    <hyperlink ref="I6" r:id="rId5" display="https://www.digikey.com/en/products/filter/chip-resistor-surface-mount/0-1w-1-10w/52?s=N4IgjCBcoExaBjKAzAhgGwM4FMA0IA3AOygBcAnAVzxAHsoBtcAFgAYA2ZkAXXwAdSUEAGUKASyIBzEAF85QA"/>
    <hyperlink ref="D7" r:id="rId6" display="https://www.digikey.com/en/products/filter/chip-resistor-surface-mount/52"/>
    <hyperlink ref="I7" r:id="rId7" display="https://www.digikey.com/en/products/filter/chip-resistor-surface-mount/0-1w-1-10w/52?s=N4IgjCBcoExaBjKAzAhgGwM4FMA0IA3AOygBcAnAVzxAHsoBtcAFgAYA2ZkAXXwAdSUEAGUKASyIBzEAF85QA"/>
    <hyperlink ref="D8" r:id="rId8" display="https://www.digikey.com/en/products/filter/chip-resistor-surface-mount/52"/>
    <hyperlink ref="D9" r:id="rId9" display="https://www.digikey.com/en/products/filter/chip-resistor-surface-mount/52"/>
    <hyperlink ref="D10" r:id="rId10" display="https://www.digikey.com/en/products/filter/through-hole-resistors/53"/>
    <hyperlink ref="D11" r:id="rId11" display="https://www.digikey.com/en/products/filter/chip-resistor-surface-mount/52"/>
    <hyperlink ref="D12" r:id="rId12" display="https://www.digikey.com/en/products/filter/chip-resistor-surface-mount/52"/>
    <hyperlink ref="D13" r:id="rId13" display="https://www.digikey.com/en/products/filter/chip-resistor-surface-mount/52"/>
    <hyperlink ref="D14" r:id="rId14" display="https://www.digikey.com/en/products/filter/rotary-potentiometers-rheostats/84"/>
    <hyperlink ref="D15" r:id="rId15" display="https://www.digikey.com/en/products/filter/rotary-potentiometers-rheostats/84"/>
    <hyperlink ref="P15" r:id="rId16"/>
    <hyperlink ref="Q15" r:id="rId17"/>
    <hyperlink ref="D16" r:id="rId18" display="https://www.digikey.com/en/products/filter/through-hole-resistors/53"/>
    <hyperlink ref="D17" r:id="rId19" display="https://www.digikey.com/en/products/filter/through-hole-resistors/53"/>
    <hyperlink ref="D18" r:id="rId20" display="https://www.digikey.com/en/products/filter/rotary-potentiometers-rheostats/84"/>
    <hyperlink ref="D19" r:id="rId21" display="https://www.digikey.com/en/products/filter/chip-resistor-surface-mount/52"/>
    <hyperlink ref="G19" r:id="rId22" display="https://www.digikey.com/en/products/filter/chip-resistor-surface-mount/1/52?s=N4IgjCBcoMxaBjKAzAhgGwM4FMA0IA3AOygBcAnAVzxAHsoBtcMGCAXXwAdSoQBlCgEsiAcxABfSUA"/>
    <hyperlink ref="Q19" r:id="rId23"/>
    <hyperlink ref="P19" r:id="rId24"/>
    <hyperlink ref="D20" r:id="rId25" display="https://www.digikey.com/en/products/filter/chip-resistor-surface-mount/52"/>
    <hyperlink ref="G20" r:id="rId26" display="https://www.digikey.com/en/products/filter/chip-resistor-surface-mount/1/52?s=N4IgjCBcoMxaBjKAzAhgGwM4FMA0IA3AOygBcAnAVzxAHsoBtcMGCAXXwAdSoQBlCgEsiAcxABfSUA"/>
    <hyperlink ref="I20" r:id="rId27" display="https://www.digikey.com/en/products/filter/chip-resistor-surface-mount/0-1w-1-10w/52?s=N4IgjCBcoExaBjKAzAhgGwM4FMA0IA3AOygBcAnAVzxAHsoBtcAFgAYA2ZkAXXwAdSUEAGUKASyIBzEAF85QA"/>
    <hyperlink ref="D21" r:id="rId28" display="https://www.digikey.com/en/products/filter/chip-resistor-surface-mount/52"/>
    <hyperlink ref="G21" r:id="rId29" display="https://www.digikey.com/en/products/filter/chip-resistor-surface-mount/1/52?s=N4IgjCBcoMxaBjKAzAhgGwM4FMA0IA3AOygBcAnAVzxAHsoBtcMGCAXXwAdSoQBlCgEsiAcxABfSUA"/>
    <hyperlink ref="I21" r:id="rId30" display="https://www.digikey.com/en/products/filter/chip-resistor-surface-mount/0-1w-1-10w/52?s=N4IgjCBcoExaBjKAzAhgGwM4FMA0IA3AOygBcAnAVzxAHsoBtcAFgAYA2ZkAXXwAdSUEAGUKASyIBzEAF85QA"/>
    <hyperlink ref="P16" display="https://shopee.vn/%C4%90i%E1%BB%87n-Tr%E1%BB%9F-1-4W-0-25W-%C4%90%E1%BB%99-ch%C3%ADnh-x%C3%A1c-1-10R-1M-Ohm-220%CE%A9-1K-10K-%C4%90i%E1%BB%87n-T%E1%BB%AD-HN-i.1586559340.41408654400?sp_atk=51ec1eb2-fd14-4111-9551-6208e1e42781&amp;xptdk=51ec1eb2-fd14-4111-9551"/>
    <hyperlink ref="D22" r:id="rId31" display="https://www.digikey.com/en/products/filter/through-hole-resistors/53"/>
    <hyperlink ref="G22" r:id="rId32" display="https://www.digikey.com/en/products/filter/through-hole-resistors/5/53?s=N4IgjCBcoMxaBjKAzAhgGwM4FMA0IA3AOygBcAnAVzxAHsoBtEAJgFYAGOAXXwAdSoIAMoUAlkQDmIAL6ygA"/>
    <hyperlink ref="I22" r:id="rId33" display="https://www.digikey.com/en/products/filter/through-hole-resistors/0-25w-1-4w/53?s=N4IgjCBcoExaBjKAzAhgGwM4FMA0IA3AOygBcAnAVzxAHsoBtcANgFYAWAZhAF18AHUlBABlCgEsiAcxABfeUA"/>
    <hyperlink ref="J22" r:id="rId34" display="https://www.digikey.com/en/products/filter/through-hole-resistors/axial/53?s=N4IgjCBcpgbFoDGUBmBDANgZwKYBoQA3AOygBcAnAV3xAHsoBtEAZjAHYwBOABhAF0CABzJQQAZUoBLYgHMQAXyVA"/>
    <hyperlink ref="D23" r:id="rId35" display="https://www.digikey.com/en/products/filter/chip-resistor-surface-mount/52"/>
    <hyperlink ref="I23" r:id="rId36" display="https://www.digikey.com/en/products/filter/chip-resistor-surface-mount/0-25w-1-4w/52?s=N4IgjCBcoExaBjKAzAhgGwM4FMA0IA3AOygBcAnAVzxAHsoBtcANgFYAWAZhAF18AHUlBABlCgEsiAcxABfeUA"/>
    <hyperlink ref="D24" r:id="rId37" display="https://www.digikey.com/en/products/filter/chip-resistor-surface-mount/52"/>
    <hyperlink ref="G24" r:id="rId38" display="https://www.digikey.com/en/products/filter/chip-resistor-surface-mount/1/52?s=N4IgjCBcoMxaBjKAzAhgGwM4FMA0IA3AOygBcAnAVzxAHsoBtcMGCAXXwAdSoQBlCgEsiAcxABfSUA"/>
    <hyperlink ref="I24" r:id="rId39" display="https://www.digikey.com/en/products/filter/chip-resistor-surface-mount/0-125w-1-8w/52?s=N4IgjCBcoExaBjKAzAhgGwM4FMA0IA3AOygBcAnAVzxAHsoBtcABgA4B2AThAF18AHUlBABlCgEsiAcxABfeUA"/>
    <hyperlink ref="D25" r:id="rId40" display="https://www.digikey.com/en/products/filter/chip-resistor-surface-mount/52"/>
    <hyperlink ref="G25" r:id="rId41" display="https://www.digikey.com/en/products/filter/chip-resistor-surface-mount/1/52?s=N4IgjCBcoMxaBjKAzAhgGwM4FMA0IA3AOygBcAnAVzxAHsoBtcMGCAXXwAdSoQBlCgEsiAcxABfSUA"/>
    <hyperlink ref="I25" r:id="rId42" display="https://www.digikey.com/en/products/filter/chip-resistor-surface-mount/0-25w-1-4w/52?s=N4IgjCBcoExaBjKAzAhgGwM4FMA0IA3AOygBcAnAVzxAHsoBtcANgFYAWAZhAF18AHUlBABlCgEsiAcxABfeUA"/>
    <hyperlink ref="D26" r:id="rId43" display="https://www.digikey.com/en/products/filter/chip-resistor-surface-mount/52"/>
    <hyperlink ref="I26" r:id="rId44" display="https://www.digikey.com/en/products/filter/chip-resistor-surface-mount/1w/52?s=N4IgjCBcoExaBjKAzAhgGwM4FMA0IA3AOygBcAnAVzxAHsoBtcGMFgThAF18AHUqEAGUKASyIBzEAF8ZQA"/>
    <hyperlink ref="D27" r:id="rId45" display="https://www.digikey.com/en/products/filter/chip-resistor-surface-mount/52"/>
    <hyperlink ref="G27" r:id="rId46" display="https://www.digikey.com/en/products/filter/chip-resistor-surface-mount/5/52?s=N4IgjCBcoMxaBjKAzAhgGwM4FMA0IA3AOygBcAnAVzxAHsoBtEAJgFYAGOAXXwAdSoIAMoUAlkQDmIAL6ygA"/>
    <hyperlink ref="I27" r:id="rId47" display="https://www.digikey.com/en/products/filter/chip-resistor-surface-mount/0-125w-1-8w/52?s=N4IgjCBcoExaBjKAzAhgGwM4FMA0IA3AOygBcAnAVzxAHsoBtcABgA4B2AThAF18AHUlBABlCgEsiAcxABfeUA"/>
    <hyperlink ref="D28" r:id="rId48" display="https://www.digikey.com/en/products/filter/chip-resistor-surface-mount/52"/>
    <hyperlink ref="P28" r:id="rId49"/>
    <hyperlink ref="P27" r:id="rId50"/>
    <hyperlink ref="D29" r:id="rId51" display="https://www.digikey.com/en/products/filter/varistors-movs/141"/>
    <hyperlink ref="D30" r:id="rId52" tooltip="Sensors/NTC Thermistors" display="https://www.lcsc.com/category/435.html"/>
    <hyperlink ref="Q30" r:id="rId53"/>
    <hyperlink ref="P30" r:id="rId54"/>
    <hyperlink ref="D31" r:id="rId55" display="https://www.digikey.com/en/products/filter/chip-resistor-surface-mount/52"/>
    <hyperlink ref="G31" r:id="rId56" display="https://www.digikey.com/en/products/filter/chip-resistor-surface-mount/1/52?s=N4IgjCBcoMxaBjKAzAhgGwM4FMA0IA3AOygBcAnAVzxAHsoBtcMGCAXXwAdSoQBlCgEsiAcxABfSUA"/>
    <hyperlink ref="I31" r:id="rId57" display="https://www.digikey.com/en/products/filter/chip-resistor-surface-mount/0-25w-1-4w/52?s=N4IgjCBcoExaBjKAzAhgGwM4FMA0IA3AOygBcAnAVzxAHsoBtcANgFYAWAZhAF18AHUlBABlCgEsiAcxABfeUA"/>
    <hyperlink ref="D32" r:id="rId58" display="https://www.digikey.com/en/products/filter/chip-resistor-surface-mount/52"/>
    <hyperlink ref="G32" r:id="rId59" display="https://www.digikey.com/en/products/filter/chip-resistor-surface-mount/1/52?s=N4IgjCBcoMxaBjKAzAhgGwM4FMA0IA3AOygBcAnAVzxAHsoBtcMGCAXXwAdSoQBlCgEsiAcxABfSUA"/>
    <hyperlink ref="Q32" r:id="rId60"/>
    <hyperlink ref="G33" r:id="rId61" display="https://www.digikey.com/en/products/filter/chip-resistor-surface-mount/1/52?s=N4IgjCBcoMxaBjKAzAhgGwM4FMA0IA3AOygBcAnAVzxAHsoBtcMGCAXXwAdSoQBlCgEsiAcxABfSUA"/>
    <hyperlink ref="I32" r:id="rId62" display="https://www.digikey.com/en/products/filter/chip-resistor-surface-mount/0-25w-1-4w/52?s=N4IgjCBcoExaBjKAzAhgGwM4FMA0IA3AOygBcAnAVzxAHsoBtcANgFYAWAZhAF18AHUlBABlCgEsiAcxABfeUA"/>
    <hyperlink ref="I33" r:id="rId63" display="https://www.digikey.com/en/products/filter/chip-resistor-surface-mount/0-25w-1-4w/52?s=N4IgjCBcoExaBjKAzAhgGwM4FMA0IA3AOygBcAnAVzxAHsoBtcANgFYAWAZhAF18AHUlBABlCgEsiAcxABfeUA"/>
    <hyperlink ref="P33" r:id="rId64"/>
    <hyperlink ref="D34" r:id="rId65" display="https://www.digikey.com/en/products/filter/chip-resistor-surface-mount/52"/>
    <hyperlink ref="G34" r:id="rId66" display="https://www.digikey.com/en/products/filter/chip-resistor-surface-mount/5/52?s=N4IgjCBcoMxaBjKAzAhgGwM4FMA0IA3AOygBcAnAVzxAHsoBtEAJgFYAGOAXXwAdSoIAMoUAlkQDmIAL6ygA"/>
    <hyperlink ref="I34" r:id="rId67" display="https://www.digikey.com/en/products/filter/chip-resistor-surface-mount/2w/52?s=N4IgjCBcoExaBjKAzAhgGwM4FMA0IA3AOygBcAnAVzxAHsoBtcANgE4wAWCAXXwAdSUEAGUKASyIBzEAF85QA"/>
    <hyperlink ref="G35" r:id="rId68" display="https://www.digikey.com/en/products/filter/chip-resistor-surface-mount/1/52?s=N4IgjCBcoMxaBjKAzAhgGwM4FMA0IA3AOygBcAnAVzxAHsoBtcMGCAXXwAdSoQBlCgEsiAcxABfSUA"/>
    <hyperlink ref="Q35" r:id="rId69"/>
    <hyperlink ref="P35" r:id="rId70"/>
    <hyperlink ref="G36" r:id="rId71" display="https://www.digikey.com/en/products/filter/chip-resistor-surface-mount/1/52?s=N4IgjCBcoMxaBjKAzAhgGwM4FMA0IA3AOygBcAnAVzxAHsoBtcMGCAXXwAdSoQBlCgEsiAcxABfSUA"/>
    <hyperlink ref="Q36" r:id="rId72"/>
    <hyperlink ref="P36" r:id="rId73"/>
    <hyperlink ref="Q37" r:id="rId74"/>
    <hyperlink ref="P37" r:id="rId75"/>
    <hyperlink ref="Q38" r:id="rId76"/>
    <hyperlink ref="P38" r:id="rId77"/>
    <hyperlink ref="I39" r:id="rId78" display="https://www.digikey.com/en/products/filter/chip-resistor-surface-mount/0-5w-1-2w/52?s=N4IgjCBcoExaBjKAzAhgGwM4FMA0IA3AOygBcAnAVzxAHsoBtEGADgDYW4BdfAB1KggAyhQCWRAOYgAvrKA"/>
    <hyperlink ref="Q39" r:id="rId79"/>
    <hyperlink ref="Q40" r:id="rId80"/>
    <hyperlink ref="P40" r:id="rId81"/>
    <hyperlink ref="Q41" r:id="rId82"/>
    <hyperlink ref="P41" r:id="rId83"/>
  </hyperlinks>
  <pageMargins left="0.7" right="0.7" top="0.75" bottom="0.75" header="0.3" footer="0.3"/>
  <pageSetup orientation="portrait" r:id="rId84"/>
  <tableParts count="1">
    <tablePart r:id="rId8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38"/>
  <sheetViews>
    <sheetView zoomScale="85" zoomScaleNormal="85" workbookViewId="0">
      <selection activeCell="A11" sqref="A11"/>
    </sheetView>
  </sheetViews>
  <sheetFormatPr defaultRowHeight="14.4"/>
  <cols>
    <col min="1" max="1" width="22.77734375" customWidth="1"/>
    <col min="2" max="2" width="16.44140625" customWidth="1"/>
    <col min="3" max="3" width="42.21875" customWidth="1"/>
    <col min="4" max="4" width="20" customWidth="1"/>
    <col min="10" max="10" width="20.6640625" style="1" customWidth="1"/>
    <col min="14" max="14" width="13.77734375" customWidth="1"/>
    <col min="16" max="16" width="22.77734375" customWidth="1"/>
    <col min="17" max="17" width="15.6640625" customWidth="1"/>
    <col min="18" max="18" width="23.109375" customWidth="1"/>
    <col min="19" max="19" width="21.5546875" customWidth="1"/>
  </cols>
  <sheetData>
    <row r="1" spans="1:19">
      <c r="A1" t="s">
        <v>33</v>
      </c>
      <c r="B1" t="s">
        <v>5</v>
      </c>
      <c r="C1" t="s">
        <v>4</v>
      </c>
      <c r="D1" t="s">
        <v>6</v>
      </c>
      <c r="E1" t="s">
        <v>0</v>
      </c>
      <c r="F1" t="s">
        <v>11</v>
      </c>
      <c r="G1" t="s">
        <v>10</v>
      </c>
      <c r="H1" t="s">
        <v>13</v>
      </c>
      <c r="I1" t="s">
        <v>14</v>
      </c>
      <c r="J1" s="1" t="s">
        <v>3</v>
      </c>
      <c r="K1" t="s">
        <v>7</v>
      </c>
      <c r="L1" t="s">
        <v>8</v>
      </c>
      <c r="M1" t="s">
        <v>9</v>
      </c>
      <c r="N1" t="s">
        <v>12</v>
      </c>
      <c r="O1" t="s">
        <v>15</v>
      </c>
      <c r="P1" t="s">
        <v>16</v>
      </c>
      <c r="Q1" t="s">
        <v>17</v>
      </c>
      <c r="R1" t="s">
        <v>1</v>
      </c>
      <c r="S1" t="s">
        <v>2</v>
      </c>
    </row>
    <row r="2" spans="1:19">
      <c r="A2" t="s">
        <v>104</v>
      </c>
      <c r="B2" t="s">
        <v>105</v>
      </c>
      <c r="C2" t="s">
        <v>106</v>
      </c>
      <c r="D2" t="s">
        <v>107</v>
      </c>
      <c r="E2" t="s">
        <v>108</v>
      </c>
      <c r="F2" t="str">
        <f>Components4[[#This Row],[Value]]</f>
        <v>10uF</v>
      </c>
      <c r="G2" t="s">
        <v>110</v>
      </c>
      <c r="H2" t="s">
        <v>109</v>
      </c>
      <c r="J2" s="1" t="s">
        <v>112</v>
      </c>
      <c r="M2" t="s">
        <v>114</v>
      </c>
      <c r="N2" t="s">
        <v>111</v>
      </c>
      <c r="O2" t="s">
        <v>22</v>
      </c>
      <c r="P2" t="s">
        <v>117</v>
      </c>
      <c r="Q2" t="s">
        <v>113</v>
      </c>
      <c r="R2" t="s">
        <v>115</v>
      </c>
      <c r="S2" t="s">
        <v>116</v>
      </c>
    </row>
    <row r="3" spans="1:19">
      <c r="A3" t="s">
        <v>120</v>
      </c>
      <c r="B3" t="s">
        <v>118</v>
      </c>
      <c r="C3" t="s">
        <v>121</v>
      </c>
      <c r="D3" t="s">
        <v>119</v>
      </c>
      <c r="E3" t="s">
        <v>122</v>
      </c>
      <c r="F3" t="str">
        <f>Components4[[#This Row],[Value]]</f>
        <v>470uF</v>
      </c>
      <c r="G3" t="s">
        <v>110</v>
      </c>
      <c r="H3" t="s">
        <v>123</v>
      </c>
      <c r="J3" s="1" t="s">
        <v>124</v>
      </c>
      <c r="O3" t="s">
        <v>22</v>
      </c>
      <c r="P3" t="s">
        <v>125</v>
      </c>
      <c r="Q3" t="s">
        <v>126</v>
      </c>
      <c r="R3" t="s">
        <v>115</v>
      </c>
      <c r="S3" t="s">
        <v>127</v>
      </c>
    </row>
    <row r="4" spans="1:19">
      <c r="A4" t="s">
        <v>139</v>
      </c>
      <c r="B4" t="s">
        <v>140</v>
      </c>
      <c r="C4" t="s">
        <v>141</v>
      </c>
      <c r="D4" t="s">
        <v>107</v>
      </c>
      <c r="E4" t="s">
        <v>142</v>
      </c>
      <c r="F4" t="str">
        <f>Components4[[#This Row],[Value]]</f>
        <v>47uF</v>
      </c>
      <c r="G4" t="s">
        <v>110</v>
      </c>
      <c r="H4" t="s">
        <v>143</v>
      </c>
      <c r="J4" s="1" t="s">
        <v>144</v>
      </c>
      <c r="M4" t="s">
        <v>50</v>
      </c>
      <c r="N4" t="s">
        <v>145</v>
      </c>
      <c r="O4" t="s">
        <v>22</v>
      </c>
      <c r="P4" t="s">
        <v>147</v>
      </c>
      <c r="Q4" t="s">
        <v>146</v>
      </c>
      <c r="R4" t="s">
        <v>115</v>
      </c>
      <c r="S4" t="s">
        <v>148</v>
      </c>
    </row>
    <row r="5" spans="1:19">
      <c r="A5" t="s">
        <v>150</v>
      </c>
      <c r="B5" t="s">
        <v>151</v>
      </c>
      <c r="C5" t="s">
        <v>152</v>
      </c>
      <c r="D5" t="s">
        <v>153</v>
      </c>
      <c r="E5" t="s">
        <v>154</v>
      </c>
      <c r="F5" t="str">
        <f>Components4[[#This Row],[Value]]</f>
        <v>100nF</v>
      </c>
      <c r="G5" t="s">
        <v>155</v>
      </c>
      <c r="H5" t="s">
        <v>156</v>
      </c>
      <c r="J5" t="s">
        <v>159</v>
      </c>
      <c r="K5" t="s">
        <v>226</v>
      </c>
      <c r="L5" t="s">
        <v>383</v>
      </c>
      <c r="M5" t="s">
        <v>384</v>
      </c>
      <c r="N5" t="s">
        <v>252</v>
      </c>
      <c r="O5" t="s">
        <v>22</v>
      </c>
      <c r="P5" t="s">
        <v>149</v>
      </c>
      <c r="Q5" t="s">
        <v>157</v>
      </c>
      <c r="R5" t="s">
        <v>158</v>
      </c>
      <c r="S5" t="s">
        <v>160</v>
      </c>
    </row>
    <row r="6" spans="1:19">
      <c r="A6" t="s">
        <v>161</v>
      </c>
      <c r="B6" t="s">
        <v>118</v>
      </c>
      <c r="C6" t="s">
        <v>162</v>
      </c>
      <c r="D6" t="s">
        <v>163</v>
      </c>
      <c r="E6" t="s">
        <v>164</v>
      </c>
      <c r="F6" t="str">
        <f>Components4[[#This Row],[Value]]</f>
        <v>1nF</v>
      </c>
      <c r="G6" t="s">
        <v>110</v>
      </c>
      <c r="H6" t="s">
        <v>165</v>
      </c>
      <c r="J6" t="s">
        <v>572</v>
      </c>
      <c r="M6" t="s">
        <v>167</v>
      </c>
      <c r="N6" t="s">
        <v>166</v>
      </c>
      <c r="O6" t="s">
        <v>22</v>
      </c>
      <c r="P6" t="s">
        <v>168</v>
      </c>
      <c r="Q6" t="s">
        <v>169</v>
      </c>
      <c r="R6" t="s">
        <v>158</v>
      </c>
      <c r="S6" t="s">
        <v>170</v>
      </c>
    </row>
    <row r="7" spans="1:19">
      <c r="A7" t="s">
        <v>240</v>
      </c>
      <c r="B7" t="s">
        <v>241</v>
      </c>
      <c r="C7" t="s">
        <v>242</v>
      </c>
      <c r="D7" t="s">
        <v>163</v>
      </c>
      <c r="E7" t="s">
        <v>108</v>
      </c>
      <c r="F7" t="str">
        <f>Components4[[#This Row],[Value]]</f>
        <v>10uF</v>
      </c>
      <c r="G7" t="s">
        <v>155</v>
      </c>
      <c r="H7" t="s">
        <v>156</v>
      </c>
      <c r="J7" t="s">
        <v>243</v>
      </c>
      <c r="K7" t="s">
        <v>380</v>
      </c>
      <c r="L7" t="s">
        <v>381</v>
      </c>
      <c r="M7" t="s">
        <v>382</v>
      </c>
      <c r="N7" t="s">
        <v>244</v>
      </c>
      <c r="O7" t="s">
        <v>22</v>
      </c>
      <c r="P7" t="s">
        <v>246</v>
      </c>
      <c r="Q7" t="s">
        <v>245</v>
      </c>
      <c r="R7" t="s">
        <v>158</v>
      </c>
      <c r="S7" t="s">
        <v>247</v>
      </c>
    </row>
    <row r="8" spans="1:19">
      <c r="A8" t="s">
        <v>293</v>
      </c>
      <c r="B8" t="s">
        <v>294</v>
      </c>
      <c r="C8" t="s">
        <v>295</v>
      </c>
      <c r="D8" t="s">
        <v>296</v>
      </c>
      <c r="E8" t="s">
        <v>154</v>
      </c>
      <c r="F8" t="str">
        <f>Components4[[#This Row],[Value]]</f>
        <v>100nF</v>
      </c>
      <c r="G8" t="s">
        <v>297</v>
      </c>
      <c r="H8" t="s">
        <v>298</v>
      </c>
      <c r="J8" t="s">
        <v>299</v>
      </c>
      <c r="O8" t="s">
        <v>22</v>
      </c>
      <c r="P8" t="s">
        <v>292</v>
      </c>
      <c r="Q8" t="s">
        <v>300</v>
      </c>
      <c r="R8" t="s">
        <v>158</v>
      </c>
      <c r="S8" t="s">
        <v>301</v>
      </c>
    </row>
    <row r="9" spans="1:19">
      <c r="A9" t="s">
        <v>303</v>
      </c>
      <c r="B9" t="s">
        <v>304</v>
      </c>
      <c r="C9" t="s">
        <v>305</v>
      </c>
      <c r="D9" t="s">
        <v>296</v>
      </c>
      <c r="E9" t="s">
        <v>307</v>
      </c>
      <c r="F9" t="str">
        <f>Components4[[#This Row],[Value]]</f>
        <v>22nF</v>
      </c>
      <c r="G9" t="s">
        <v>155</v>
      </c>
      <c r="H9" t="s">
        <v>298</v>
      </c>
      <c r="J9" t="s">
        <v>306</v>
      </c>
      <c r="O9" t="s">
        <v>22</v>
      </c>
      <c r="P9" t="s">
        <v>302</v>
      </c>
      <c r="Q9" t="s">
        <v>308</v>
      </c>
      <c r="R9" t="s">
        <v>158</v>
      </c>
      <c r="S9" t="s">
        <v>309</v>
      </c>
    </row>
    <row r="10" spans="1:19">
      <c r="A10" t="s">
        <v>376</v>
      </c>
      <c r="B10" t="s">
        <v>219</v>
      </c>
      <c r="C10" t="s">
        <v>377</v>
      </c>
      <c r="D10" t="s">
        <v>163</v>
      </c>
      <c r="E10" t="s">
        <v>378</v>
      </c>
      <c r="F10" t="str">
        <f>Components4[[#This Row],[Value]]</f>
        <v>8pF</v>
      </c>
      <c r="G10" t="s">
        <v>379</v>
      </c>
      <c r="H10" t="s">
        <v>156</v>
      </c>
      <c r="J10" t="s">
        <v>243</v>
      </c>
      <c r="K10" t="s">
        <v>380</v>
      </c>
      <c r="L10" t="s">
        <v>381</v>
      </c>
      <c r="M10" t="s">
        <v>382</v>
      </c>
      <c r="N10" t="s">
        <v>244</v>
      </c>
      <c r="O10" t="s">
        <v>22</v>
      </c>
      <c r="P10" t="s">
        <v>385</v>
      </c>
      <c r="Q10" t="s">
        <v>386</v>
      </c>
      <c r="R10" t="s">
        <v>158</v>
      </c>
      <c r="S10" t="s">
        <v>247</v>
      </c>
    </row>
    <row r="11" spans="1:19">
      <c r="A11" s="18" t="s">
        <v>486</v>
      </c>
      <c r="B11" t="s">
        <v>219</v>
      </c>
      <c r="C11" t="s">
        <v>487</v>
      </c>
      <c r="D11" t="s">
        <v>163</v>
      </c>
      <c r="E11" t="s">
        <v>488</v>
      </c>
      <c r="F11" s="6" t="str">
        <f>Components4[[#This Row],[Value]]</f>
        <v>0.1uF</v>
      </c>
      <c r="G11" t="s">
        <v>155</v>
      </c>
      <c r="H11" t="s">
        <v>485</v>
      </c>
      <c r="J11" s="1" t="s">
        <v>159</v>
      </c>
      <c r="K11" t="s">
        <v>226</v>
      </c>
      <c r="L11" t="s">
        <v>253</v>
      </c>
      <c r="M11" t="s">
        <v>384</v>
      </c>
      <c r="N11" t="s">
        <v>252</v>
      </c>
      <c r="O11" t="s">
        <v>22</v>
      </c>
      <c r="P11" t="s">
        <v>484</v>
      </c>
      <c r="Q11" t="s">
        <v>489</v>
      </c>
      <c r="R11" t="s">
        <v>158</v>
      </c>
      <c r="S11" t="s">
        <v>160</v>
      </c>
    </row>
    <row r="12" spans="1:19">
      <c r="A12" t="s">
        <v>491</v>
      </c>
      <c r="B12" t="s">
        <v>492</v>
      </c>
      <c r="C12" t="s">
        <v>493</v>
      </c>
      <c r="D12" t="s">
        <v>163</v>
      </c>
      <c r="E12" t="s">
        <v>494</v>
      </c>
      <c r="F12" s="6" t="str">
        <f>Components4[[#This Row],[Value]]</f>
        <v>0.01uF</v>
      </c>
      <c r="G12" t="s">
        <v>155</v>
      </c>
      <c r="H12" t="s">
        <v>156</v>
      </c>
      <c r="I12" s="6"/>
      <c r="J12" s="1" t="s">
        <v>159</v>
      </c>
      <c r="K12" t="s">
        <v>226</v>
      </c>
      <c r="L12" t="s">
        <v>253</v>
      </c>
      <c r="M12" t="s">
        <v>384</v>
      </c>
      <c r="N12" t="s">
        <v>252</v>
      </c>
      <c r="O12" t="s">
        <v>22</v>
      </c>
      <c r="P12" t="s">
        <v>490</v>
      </c>
      <c r="Q12" t="s">
        <v>495</v>
      </c>
      <c r="R12" t="s">
        <v>158</v>
      </c>
      <c r="S12" t="s">
        <v>160</v>
      </c>
    </row>
    <row r="13" spans="1:19">
      <c r="A13" t="s">
        <v>497</v>
      </c>
      <c r="B13" t="s">
        <v>219</v>
      </c>
      <c r="C13" t="s">
        <v>498</v>
      </c>
      <c r="D13" t="s">
        <v>163</v>
      </c>
      <c r="E13" t="s">
        <v>499</v>
      </c>
      <c r="F13" s="6" t="str">
        <f>Components4[[#This Row],[Value]]</f>
        <v>470pF</v>
      </c>
      <c r="G13" t="s">
        <v>297</v>
      </c>
      <c r="H13" t="s">
        <v>123</v>
      </c>
      <c r="I13" s="6"/>
      <c r="J13" s="1" t="s">
        <v>159</v>
      </c>
      <c r="K13" t="s">
        <v>226</v>
      </c>
      <c r="L13" t="s">
        <v>253</v>
      </c>
      <c r="M13" t="s">
        <v>384</v>
      </c>
      <c r="N13" t="s">
        <v>252</v>
      </c>
      <c r="O13" t="s">
        <v>22</v>
      </c>
      <c r="P13" t="s">
        <v>496</v>
      </c>
      <c r="Q13" t="s">
        <v>500</v>
      </c>
      <c r="R13" t="s">
        <v>158</v>
      </c>
      <c r="S13" t="s">
        <v>160</v>
      </c>
    </row>
    <row r="14" spans="1:19">
      <c r="A14" t="s">
        <v>523</v>
      </c>
      <c r="B14" t="s">
        <v>219</v>
      </c>
      <c r="C14" t="s">
        <v>524</v>
      </c>
      <c r="D14" t="s">
        <v>163</v>
      </c>
      <c r="E14" t="s">
        <v>525</v>
      </c>
      <c r="F14" s="6" t="str">
        <f>Components4[[#This Row],[Value]]</f>
        <v>1uF</v>
      </c>
      <c r="G14" t="s">
        <v>155</v>
      </c>
      <c r="H14" t="s">
        <v>485</v>
      </c>
      <c r="I14" s="6"/>
      <c r="J14" s="1" t="s">
        <v>159</v>
      </c>
      <c r="K14" t="s">
        <v>226</v>
      </c>
      <c r="L14" t="s">
        <v>253</v>
      </c>
      <c r="M14" t="s">
        <v>384</v>
      </c>
      <c r="N14" t="s">
        <v>252</v>
      </c>
      <c r="O14" t="s">
        <v>22</v>
      </c>
      <c r="P14" t="s">
        <v>484</v>
      </c>
      <c r="Q14" t="s">
        <v>526</v>
      </c>
      <c r="R14" t="s">
        <v>158</v>
      </c>
      <c r="S14" t="s">
        <v>160</v>
      </c>
    </row>
    <row r="15" spans="1:19">
      <c r="A15" t="s">
        <v>553</v>
      </c>
      <c r="B15" t="s">
        <v>186</v>
      </c>
      <c r="C15" t="s">
        <v>554</v>
      </c>
      <c r="D15" t="s">
        <v>555</v>
      </c>
      <c r="E15" t="s">
        <v>556</v>
      </c>
      <c r="F15" s="6" t="str">
        <f>Components4[[#This Row],[Value]]</f>
        <v>0.47uF</v>
      </c>
      <c r="G15" t="s">
        <v>297</v>
      </c>
      <c r="H15" t="s">
        <v>557</v>
      </c>
      <c r="J15" t="s">
        <v>571</v>
      </c>
      <c r="K15" t="s">
        <v>558</v>
      </c>
      <c r="L15" t="s">
        <v>559</v>
      </c>
      <c r="M15" t="s">
        <v>166</v>
      </c>
      <c r="N15" t="s">
        <v>560</v>
      </c>
      <c r="O15" t="s">
        <v>22</v>
      </c>
      <c r="P15" t="s">
        <v>552</v>
      </c>
      <c r="Q15" t="s">
        <v>561</v>
      </c>
      <c r="R15" t="s">
        <v>158</v>
      </c>
      <c r="S15" t="s">
        <v>567</v>
      </c>
    </row>
    <row r="16" spans="1:19">
      <c r="A16" t="s">
        <v>563</v>
      </c>
      <c r="B16" t="s">
        <v>564</v>
      </c>
      <c r="C16" t="s">
        <v>565</v>
      </c>
      <c r="D16" t="s">
        <v>566</v>
      </c>
      <c r="E16" t="s">
        <v>568</v>
      </c>
      <c r="F16" t="str">
        <f>Components4[[#This Row],[Value]]</f>
        <v>2200UF</v>
      </c>
      <c r="G16" t="s">
        <v>110</v>
      </c>
      <c r="H16" t="s">
        <v>143</v>
      </c>
      <c r="J16" s="1" t="s">
        <v>570</v>
      </c>
      <c r="M16" t="s">
        <v>573</v>
      </c>
      <c r="N16" t="s">
        <v>574</v>
      </c>
      <c r="O16" t="s">
        <v>22</v>
      </c>
      <c r="P16" t="s">
        <v>562</v>
      </c>
      <c r="Q16" t="s">
        <v>575</v>
      </c>
      <c r="R16" t="s">
        <v>115</v>
      </c>
      <c r="S16" t="s">
        <v>576</v>
      </c>
    </row>
    <row r="17" spans="1:19">
      <c r="A17" t="s">
        <v>589</v>
      </c>
      <c r="B17" t="s">
        <v>564</v>
      </c>
      <c r="C17" t="s">
        <v>590</v>
      </c>
      <c r="D17" t="s">
        <v>566</v>
      </c>
      <c r="E17" t="s">
        <v>142</v>
      </c>
      <c r="F17" s="6" t="str">
        <f>Components4[[#This Row],[Value]]</f>
        <v>47uF</v>
      </c>
      <c r="G17" t="s">
        <v>110</v>
      </c>
      <c r="H17" t="s">
        <v>143</v>
      </c>
      <c r="J17" s="1" t="s">
        <v>144</v>
      </c>
      <c r="L17" s="1"/>
      <c r="M17" t="s">
        <v>50</v>
      </c>
      <c r="N17" t="s">
        <v>145</v>
      </c>
      <c r="O17" t="s">
        <v>22</v>
      </c>
      <c r="P17" t="s">
        <v>588</v>
      </c>
      <c r="Q17" t="s">
        <v>591</v>
      </c>
      <c r="R17" t="s">
        <v>115</v>
      </c>
      <c r="S17" t="s">
        <v>148</v>
      </c>
    </row>
    <row r="18" spans="1:19">
      <c r="A18" t="s">
        <v>593</v>
      </c>
      <c r="B18" t="s">
        <v>564</v>
      </c>
      <c r="C18" t="s">
        <v>594</v>
      </c>
      <c r="D18" t="s">
        <v>566</v>
      </c>
      <c r="E18" t="s">
        <v>108</v>
      </c>
      <c r="F18" s="6" t="str">
        <f>Components4[[#This Row],[Value]]</f>
        <v>10uF</v>
      </c>
      <c r="G18" t="s">
        <v>155</v>
      </c>
      <c r="H18" t="s">
        <v>156</v>
      </c>
      <c r="J18" s="1" t="s">
        <v>144</v>
      </c>
      <c r="M18" t="s">
        <v>50</v>
      </c>
      <c r="N18" t="s">
        <v>145</v>
      </c>
      <c r="O18" t="s">
        <v>22</v>
      </c>
      <c r="P18" t="s">
        <v>592</v>
      </c>
      <c r="Q18" t="s">
        <v>595</v>
      </c>
      <c r="R18" t="s">
        <v>115</v>
      </c>
      <c r="S18" t="s">
        <v>148</v>
      </c>
    </row>
    <row r="19" spans="1:19">
      <c r="A19" t="s">
        <v>596</v>
      </c>
      <c r="B19" t="s">
        <v>564</v>
      </c>
      <c r="C19" t="s">
        <v>590</v>
      </c>
      <c r="D19" t="s">
        <v>566</v>
      </c>
      <c r="E19" t="s">
        <v>142</v>
      </c>
      <c r="F19" t="str">
        <f>Components4[[#This Row],[Value]]</f>
        <v>47uF</v>
      </c>
      <c r="G19" t="s">
        <v>110</v>
      </c>
      <c r="H19" t="s">
        <v>143</v>
      </c>
      <c r="J19" t="s">
        <v>597</v>
      </c>
      <c r="M19" t="s">
        <v>598</v>
      </c>
      <c r="N19" t="s">
        <v>599</v>
      </c>
      <c r="O19" t="s">
        <v>22</v>
      </c>
      <c r="P19" t="s">
        <v>601</v>
      </c>
      <c r="Q19" t="s">
        <v>600</v>
      </c>
      <c r="R19" t="s">
        <v>115</v>
      </c>
      <c r="S19" t="s">
        <v>602</v>
      </c>
    </row>
    <row r="20" spans="1:19">
      <c r="A20" t="s">
        <v>604</v>
      </c>
      <c r="B20" t="s">
        <v>605</v>
      </c>
      <c r="C20" t="s">
        <v>606</v>
      </c>
      <c r="D20" t="s">
        <v>163</v>
      </c>
      <c r="E20" t="s">
        <v>488</v>
      </c>
      <c r="F20" s="6" t="str">
        <f>Components4[[#This Row],[Value]]</f>
        <v>0.1uF</v>
      </c>
      <c r="G20" t="s">
        <v>155</v>
      </c>
      <c r="H20" t="s">
        <v>156</v>
      </c>
      <c r="J20" t="s">
        <v>607</v>
      </c>
      <c r="K20" t="s">
        <v>608</v>
      </c>
      <c r="L20" t="s">
        <v>609</v>
      </c>
      <c r="M20" t="s">
        <v>610</v>
      </c>
      <c r="N20" t="s">
        <v>611</v>
      </c>
      <c r="O20" t="s">
        <v>22</v>
      </c>
      <c r="P20" t="s">
        <v>603</v>
      </c>
      <c r="Q20" t="s">
        <v>612</v>
      </c>
      <c r="R20" t="s">
        <v>158</v>
      </c>
      <c r="S20" t="s">
        <v>614</v>
      </c>
    </row>
    <row r="21" spans="1:19">
      <c r="A21" t="s">
        <v>782</v>
      </c>
      <c r="B21" t="s">
        <v>118</v>
      </c>
      <c r="C21" t="s">
        <v>783</v>
      </c>
      <c r="D21" t="s">
        <v>163</v>
      </c>
      <c r="E21" t="s">
        <v>488</v>
      </c>
      <c r="F21" s="6" t="str">
        <f>Components4[[#This Row],[Value]]</f>
        <v>0.1uF</v>
      </c>
      <c r="G21" t="s">
        <v>785</v>
      </c>
      <c r="H21" t="s">
        <v>485</v>
      </c>
      <c r="J21" t="s">
        <v>243</v>
      </c>
      <c r="K21" t="s">
        <v>380</v>
      </c>
      <c r="L21" t="s">
        <v>381</v>
      </c>
      <c r="M21" t="s">
        <v>786</v>
      </c>
      <c r="N21" t="s">
        <v>244</v>
      </c>
      <c r="O21" t="s">
        <v>22</v>
      </c>
      <c r="P21" t="s">
        <v>788</v>
      </c>
      <c r="Q21" t="s">
        <v>787</v>
      </c>
      <c r="R21" t="s">
        <v>158</v>
      </c>
      <c r="S21" t="s">
        <v>247</v>
      </c>
    </row>
    <row r="22" spans="1:19">
      <c r="A22" t="s">
        <v>699</v>
      </c>
      <c r="B22" t="s">
        <v>140</v>
      </c>
      <c r="C22" t="s">
        <v>700</v>
      </c>
      <c r="D22" t="s">
        <v>566</v>
      </c>
      <c r="E22" t="s">
        <v>784</v>
      </c>
      <c r="F22" s="6" t="str">
        <f>Components4[[#This Row],[Value]]</f>
        <v>100uF</v>
      </c>
      <c r="G22" t="s">
        <v>110</v>
      </c>
      <c r="H22" t="s">
        <v>156</v>
      </c>
      <c r="J22" t="s">
        <v>701</v>
      </c>
      <c r="M22" t="s">
        <v>702</v>
      </c>
      <c r="N22" t="s">
        <v>703</v>
      </c>
      <c r="O22" t="s">
        <v>22</v>
      </c>
      <c r="P22" t="s">
        <v>705</v>
      </c>
      <c r="Q22" t="s">
        <v>704</v>
      </c>
      <c r="R22" t="s">
        <v>115</v>
      </c>
      <c r="S22" t="s">
        <v>706</v>
      </c>
    </row>
    <row r="23" spans="1:19">
      <c r="A23" t="s">
        <v>824</v>
      </c>
      <c r="B23" t="s">
        <v>118</v>
      </c>
      <c r="C23" t="s">
        <v>825</v>
      </c>
      <c r="D23" t="s">
        <v>566</v>
      </c>
      <c r="E23" t="s">
        <v>784</v>
      </c>
      <c r="F23" s="6" t="str">
        <f>Components4[[#This Row],[Value]]</f>
        <v>100uF</v>
      </c>
      <c r="G23" t="s">
        <v>110</v>
      </c>
      <c r="H23" t="s">
        <v>485</v>
      </c>
      <c r="J23" s="1" t="s">
        <v>826</v>
      </c>
      <c r="K23" t="s">
        <v>829</v>
      </c>
      <c r="L23" t="s">
        <v>829</v>
      </c>
      <c r="M23" t="s">
        <v>828</v>
      </c>
      <c r="N23" t="s">
        <v>827</v>
      </c>
      <c r="O23" t="s">
        <v>22</v>
      </c>
      <c r="P23" t="s">
        <v>831</v>
      </c>
      <c r="Q23" t="s">
        <v>830</v>
      </c>
      <c r="R23" t="s">
        <v>115</v>
      </c>
      <c r="S23" t="s">
        <v>832</v>
      </c>
    </row>
    <row r="24" spans="1:19">
      <c r="A24" s="12" t="s">
        <v>833</v>
      </c>
      <c r="B24" t="s">
        <v>99</v>
      </c>
      <c r="C24" t="s">
        <v>834</v>
      </c>
      <c r="D24" t="s">
        <v>835</v>
      </c>
      <c r="E24" t="s">
        <v>784</v>
      </c>
      <c r="F24" s="6" t="str">
        <f>Components4[[#This Row],[Value]]</f>
        <v>100uF</v>
      </c>
      <c r="G24" t="s">
        <v>110</v>
      </c>
      <c r="H24" t="s">
        <v>123</v>
      </c>
      <c r="J24" s="1" t="s">
        <v>826</v>
      </c>
      <c r="K24" t="s">
        <v>837</v>
      </c>
      <c r="L24" t="s">
        <v>837</v>
      </c>
      <c r="M24" t="s">
        <v>838</v>
      </c>
      <c r="N24" t="s">
        <v>836</v>
      </c>
      <c r="O24" t="s">
        <v>22</v>
      </c>
      <c r="P24" t="s">
        <v>841</v>
      </c>
      <c r="Q24" t="s">
        <v>839</v>
      </c>
      <c r="R24" t="s">
        <v>115</v>
      </c>
      <c r="S24" t="s">
        <v>840</v>
      </c>
    </row>
    <row r="25" spans="1:19">
      <c r="A25" s="12" t="s">
        <v>912</v>
      </c>
      <c r="B25" t="s">
        <v>564</v>
      </c>
      <c r="C25" t="s">
        <v>913</v>
      </c>
      <c r="D25" t="s">
        <v>566</v>
      </c>
      <c r="E25" t="s">
        <v>142</v>
      </c>
      <c r="F25" s="6" t="str">
        <f>Components4[[#This Row],[Value]]</f>
        <v>47uF</v>
      </c>
      <c r="G25" t="s">
        <v>110</v>
      </c>
      <c r="H25" t="s">
        <v>109</v>
      </c>
      <c r="J25" s="1" t="s">
        <v>916</v>
      </c>
      <c r="M25" t="s">
        <v>915</v>
      </c>
      <c r="N25" t="s">
        <v>914</v>
      </c>
      <c r="O25" t="s">
        <v>22</v>
      </c>
      <c r="P25" t="s">
        <v>918</v>
      </c>
      <c r="Q25" t="s">
        <v>917</v>
      </c>
      <c r="R25" t="s">
        <v>115</v>
      </c>
      <c r="S25" t="s">
        <v>919</v>
      </c>
    </row>
    <row r="26" spans="1:19">
      <c r="A26" t="s">
        <v>893</v>
      </c>
      <c r="B26" t="s">
        <v>118</v>
      </c>
      <c r="C26" t="s">
        <v>894</v>
      </c>
      <c r="D26" t="s">
        <v>555</v>
      </c>
      <c r="E26" t="s">
        <v>488</v>
      </c>
      <c r="F26" s="6" t="str">
        <f>Components4[[#This Row],[Value]]</f>
        <v>0.1uF</v>
      </c>
      <c r="G26" t="s">
        <v>110</v>
      </c>
      <c r="H26" t="s">
        <v>895</v>
      </c>
      <c r="J26" s="1" t="s">
        <v>826</v>
      </c>
      <c r="K26" t="s">
        <v>897</v>
      </c>
      <c r="L26" t="s">
        <v>898</v>
      </c>
      <c r="M26" t="s">
        <v>899</v>
      </c>
      <c r="N26" t="s">
        <v>896</v>
      </c>
      <c r="O26" t="s">
        <v>22</v>
      </c>
      <c r="P26" t="s">
        <v>901</v>
      </c>
      <c r="Q26" t="s">
        <v>900</v>
      </c>
      <c r="R26" t="s">
        <v>158</v>
      </c>
      <c r="S26" t="s">
        <v>902</v>
      </c>
    </row>
    <row r="27" spans="1:19">
      <c r="A27" t="s">
        <v>939</v>
      </c>
      <c r="B27" t="s">
        <v>118</v>
      </c>
      <c r="C27" t="s">
        <v>940</v>
      </c>
      <c r="D27" t="s">
        <v>163</v>
      </c>
      <c r="E27" t="s">
        <v>488</v>
      </c>
      <c r="F27" s="6" t="str">
        <f>Components4[[#This Row],[Value]]</f>
        <v>0.1uF</v>
      </c>
      <c r="G27" t="s">
        <v>155</v>
      </c>
      <c r="H27" t="s">
        <v>941</v>
      </c>
      <c r="J27" s="1" t="s">
        <v>942</v>
      </c>
      <c r="K27" t="s">
        <v>944</v>
      </c>
      <c r="L27" t="s">
        <v>945</v>
      </c>
      <c r="N27" t="s">
        <v>943</v>
      </c>
      <c r="O27" t="s">
        <v>22</v>
      </c>
      <c r="Q27" t="s">
        <v>946</v>
      </c>
      <c r="R27" t="s">
        <v>158</v>
      </c>
      <c r="S27" t="s">
        <v>959</v>
      </c>
    </row>
    <row r="28" spans="1:19">
      <c r="A28" t="s">
        <v>951</v>
      </c>
      <c r="B28" t="s">
        <v>140</v>
      </c>
      <c r="C28" t="s">
        <v>953</v>
      </c>
      <c r="D28" t="s">
        <v>566</v>
      </c>
      <c r="E28" t="s">
        <v>108</v>
      </c>
      <c r="F28" s="6" t="str">
        <f>Components4[[#This Row],[Value]]</f>
        <v>10uF</v>
      </c>
      <c r="G28" t="s">
        <v>110</v>
      </c>
      <c r="H28" t="s">
        <v>156</v>
      </c>
      <c r="J28" s="1" t="s">
        <v>954</v>
      </c>
      <c r="M28" t="s">
        <v>956</v>
      </c>
      <c r="N28" t="s">
        <v>955</v>
      </c>
      <c r="O28" t="s">
        <v>22</v>
      </c>
      <c r="P28" t="s">
        <v>952</v>
      </c>
      <c r="Q28" t="s">
        <v>957</v>
      </c>
      <c r="R28" t="s">
        <v>115</v>
      </c>
      <c r="S28" t="s">
        <v>958</v>
      </c>
    </row>
    <row r="29" spans="1:19">
      <c r="A29" t="s">
        <v>1003</v>
      </c>
      <c r="B29" t="s">
        <v>1004</v>
      </c>
      <c r="C29" t="s">
        <v>1005</v>
      </c>
      <c r="D29" t="s">
        <v>1006</v>
      </c>
      <c r="E29" t="s">
        <v>164</v>
      </c>
      <c r="F29" s="6" t="str">
        <f>Components4[[#This Row],[Value]]</f>
        <v>1nF</v>
      </c>
      <c r="G29" t="s">
        <v>110</v>
      </c>
      <c r="H29" t="s">
        <v>1007</v>
      </c>
      <c r="J29" s="1" t="s">
        <v>306</v>
      </c>
      <c r="O29" t="s">
        <v>22</v>
      </c>
      <c r="Q29" t="s">
        <v>1008</v>
      </c>
      <c r="R29" t="s">
        <v>158</v>
      </c>
      <c r="S29" t="s">
        <v>1009</v>
      </c>
    </row>
    <row r="30" spans="1:19">
      <c r="A30" s="15" t="s">
        <v>1018</v>
      </c>
      <c r="B30" t="s">
        <v>99</v>
      </c>
      <c r="C30" t="s">
        <v>1017</v>
      </c>
      <c r="D30" t="s">
        <v>566</v>
      </c>
      <c r="E30" t="s">
        <v>122</v>
      </c>
      <c r="F30" s="6" t="str">
        <f>Components4[[#This Row],[Value]]</f>
        <v>470uF</v>
      </c>
      <c r="G30" s="14" t="s">
        <v>110</v>
      </c>
      <c r="H30" t="s">
        <v>485</v>
      </c>
      <c r="J30" s="1" t="s">
        <v>1019</v>
      </c>
      <c r="M30" t="s">
        <v>956</v>
      </c>
      <c r="N30" t="s">
        <v>166</v>
      </c>
      <c r="O30" t="s">
        <v>22</v>
      </c>
      <c r="P30" t="s">
        <v>1021</v>
      </c>
      <c r="Q30" t="s">
        <v>1020</v>
      </c>
      <c r="R30" t="s">
        <v>115</v>
      </c>
      <c r="S30" t="s">
        <v>1022</v>
      </c>
    </row>
    <row r="31" spans="1:19">
      <c r="A31" t="s">
        <v>1058</v>
      </c>
      <c r="B31" t="s">
        <v>1059</v>
      </c>
      <c r="C31" t="s">
        <v>1060</v>
      </c>
      <c r="D31" t="s">
        <v>163</v>
      </c>
      <c r="E31" t="s">
        <v>164</v>
      </c>
      <c r="F31" s="6" t="str">
        <f>Components4[[#This Row],[Value]]</f>
        <v>1nF</v>
      </c>
      <c r="G31" t="s">
        <v>297</v>
      </c>
      <c r="H31" t="s">
        <v>109</v>
      </c>
      <c r="J31" t="s">
        <v>243</v>
      </c>
      <c r="K31" t="s">
        <v>380</v>
      </c>
      <c r="L31" t="s">
        <v>381</v>
      </c>
      <c r="M31" t="s">
        <v>1061</v>
      </c>
      <c r="N31" t="s">
        <v>244</v>
      </c>
      <c r="O31" t="s">
        <v>22</v>
      </c>
      <c r="Q31" t="s">
        <v>1062</v>
      </c>
      <c r="R31" t="s">
        <v>158</v>
      </c>
      <c r="S31" t="s">
        <v>247</v>
      </c>
    </row>
    <row r="32" spans="1:19">
      <c r="A32" t="s">
        <v>1063</v>
      </c>
      <c r="B32" t="s">
        <v>1059</v>
      </c>
      <c r="C32" t="s">
        <v>1064</v>
      </c>
      <c r="D32" t="s">
        <v>163</v>
      </c>
      <c r="E32" t="s">
        <v>1065</v>
      </c>
      <c r="F32" s="6" t="str">
        <f>Components4[[#This Row],[Value]]</f>
        <v>2.2nF</v>
      </c>
      <c r="G32" t="s">
        <v>297</v>
      </c>
      <c r="H32" t="s">
        <v>109</v>
      </c>
      <c r="J32" t="s">
        <v>243</v>
      </c>
      <c r="K32" t="s">
        <v>380</v>
      </c>
      <c r="L32" t="s">
        <v>381</v>
      </c>
      <c r="M32" t="s">
        <v>1061</v>
      </c>
      <c r="N32" t="s">
        <v>244</v>
      </c>
      <c r="O32" t="s">
        <v>22</v>
      </c>
      <c r="Q32" t="s">
        <v>1066</v>
      </c>
      <c r="R32" t="s">
        <v>158</v>
      </c>
      <c r="S32" t="s">
        <v>247</v>
      </c>
    </row>
    <row r="33" spans="1:19">
      <c r="A33" t="s">
        <v>1067</v>
      </c>
      <c r="B33" t="s">
        <v>118</v>
      </c>
      <c r="C33" t="s">
        <v>1068</v>
      </c>
      <c r="D33" t="s">
        <v>163</v>
      </c>
      <c r="E33" t="s">
        <v>164</v>
      </c>
      <c r="F33" s="6" t="str">
        <f>Components4[[#This Row],[Value]]</f>
        <v>1nF</v>
      </c>
      <c r="G33" t="s">
        <v>297</v>
      </c>
      <c r="H33" t="s">
        <v>156</v>
      </c>
      <c r="J33" s="1">
        <v>1206</v>
      </c>
      <c r="K33" t="s">
        <v>944</v>
      </c>
      <c r="L33" t="s">
        <v>768</v>
      </c>
      <c r="M33" t="s">
        <v>786</v>
      </c>
      <c r="N33" t="s">
        <v>1069</v>
      </c>
      <c r="O33" t="s">
        <v>22</v>
      </c>
      <c r="P33" t="s">
        <v>1072</v>
      </c>
      <c r="Q33" t="s">
        <v>1070</v>
      </c>
      <c r="R33" t="s">
        <v>158</v>
      </c>
      <c r="S33" t="s">
        <v>1071</v>
      </c>
    </row>
    <row r="34" spans="1:19">
      <c r="A34" t="s">
        <v>1073</v>
      </c>
      <c r="B34" t="s">
        <v>1059</v>
      </c>
      <c r="C34" t="s">
        <v>1074</v>
      </c>
      <c r="D34" t="s">
        <v>163</v>
      </c>
      <c r="E34" t="s">
        <v>164</v>
      </c>
      <c r="F34" s="6" t="str">
        <f>Components4[[#This Row],[Value]]</f>
        <v>1nF</v>
      </c>
      <c r="G34" t="s">
        <v>297</v>
      </c>
      <c r="H34" t="s">
        <v>1075</v>
      </c>
      <c r="J34" s="1" t="s">
        <v>765</v>
      </c>
      <c r="K34" t="s">
        <v>944</v>
      </c>
      <c r="L34" t="s">
        <v>768</v>
      </c>
      <c r="M34" t="s">
        <v>786</v>
      </c>
      <c r="N34" t="s">
        <v>1069</v>
      </c>
      <c r="O34" t="s">
        <v>22</v>
      </c>
      <c r="Q34" t="s">
        <v>1076</v>
      </c>
      <c r="R34" t="s">
        <v>158</v>
      </c>
      <c r="S34" t="s">
        <v>1071</v>
      </c>
    </row>
    <row r="35" spans="1:19">
      <c r="A35" t="s">
        <v>1077</v>
      </c>
      <c r="B35" t="s">
        <v>1059</v>
      </c>
      <c r="C35" t="s">
        <v>1078</v>
      </c>
      <c r="D35" t="s">
        <v>163</v>
      </c>
      <c r="E35" t="s">
        <v>1065</v>
      </c>
      <c r="F35" s="6" t="str">
        <f>Components4[[#This Row],[Value]]</f>
        <v>2.2nF</v>
      </c>
      <c r="G35" t="s">
        <v>297</v>
      </c>
      <c r="H35" t="s">
        <v>1075</v>
      </c>
      <c r="J35" s="1" t="s">
        <v>765</v>
      </c>
      <c r="K35" t="s">
        <v>944</v>
      </c>
      <c r="L35" t="s">
        <v>768</v>
      </c>
      <c r="M35" t="s">
        <v>786</v>
      </c>
      <c r="N35" t="s">
        <v>1069</v>
      </c>
      <c r="O35" t="s">
        <v>22</v>
      </c>
      <c r="Q35" t="s">
        <v>1079</v>
      </c>
      <c r="R35" t="s">
        <v>158</v>
      </c>
      <c r="S35" t="s">
        <v>1071</v>
      </c>
    </row>
    <row r="36" spans="1:19">
      <c r="A36" t="s">
        <v>1098</v>
      </c>
      <c r="B36" t="s">
        <v>219</v>
      </c>
      <c r="C36" t="s">
        <v>1099</v>
      </c>
      <c r="D36" t="s">
        <v>163</v>
      </c>
      <c r="E36" t="s">
        <v>488</v>
      </c>
      <c r="F36" s="6" t="str">
        <f>Components4[[#This Row],[Value]]</f>
        <v>0.1uF</v>
      </c>
      <c r="G36" t="s">
        <v>155</v>
      </c>
      <c r="H36" t="s">
        <v>156</v>
      </c>
      <c r="J36" t="s">
        <v>243</v>
      </c>
      <c r="K36" t="s">
        <v>380</v>
      </c>
      <c r="L36" t="s">
        <v>381</v>
      </c>
      <c r="M36" t="s">
        <v>786</v>
      </c>
      <c r="N36" t="s">
        <v>244</v>
      </c>
      <c r="O36" t="s">
        <v>22</v>
      </c>
      <c r="P36" t="s">
        <v>1101</v>
      </c>
      <c r="Q36" t="s">
        <v>1100</v>
      </c>
      <c r="R36" t="s">
        <v>158</v>
      </c>
      <c r="S36" t="s">
        <v>247</v>
      </c>
    </row>
    <row r="38" spans="1:19">
      <c r="J38" s="16"/>
    </row>
  </sheetData>
  <hyperlinks>
    <hyperlink ref="D2" r:id="rId1" tooltip="Capacitors/Aluminum Electrolytic Capacitors - Leaded" display="https://lcsc.com/products/Aluminum-Electrolytic-Capacitors-Leaded_315.html"/>
    <hyperlink ref="D4" r:id="rId2" tooltip="Capacitors/Aluminum Electrolytic Capacitors - Leaded" display="https://lcsc.com/products/Aluminum-Electrolytic-Capacitors-Leaded_315.html"/>
    <hyperlink ref="D5" r:id="rId3" tooltip="Capacitors/Multilayer Ceramic Capacitors MLCC - SMD/SMT" display="https://lcsc.com/products/Multilayer-Ceramic-Capacitors-MLCC-SMD-SMT_313.html"/>
    <hyperlink ref="D6" r:id="rId4" display="https://www.digikey.com/en/products/filter/ceramic-capacitors/60"/>
    <hyperlink ref="D7" r:id="rId5" display="https://www.digikey.com/en/products/filter/ceramic-capacitors/60"/>
    <hyperlink ref="H7" r:id="rId6" display="https://www.digikey.com/en/products/filter/ceramic-capacitors/50v/60?s=N4IgjCBcpgLFoDGUBmBDANgZwKYBoQA3AOygBcAnAV3xAHsoBtEAJgGYAOAdk5AF0CABzJQQAZUoBLYgHMQAX0VA"/>
    <hyperlink ref="D8" r:id="rId7" tooltip="Capacitors/Polypropylene Film Capacitors (CBB)" display="https://lcsc.com/products/Polypropylene-Film-Capacitors-CBB_554.html"/>
    <hyperlink ref="D9" r:id="rId8" tooltip="Capacitors/Polypropylene Film Capacitors (CBB)" display="https://lcsc.com/products/Polypropylene-Film-Capacitors-CBB_554.html"/>
    <hyperlink ref="D10" r:id="rId9" display="https://www.digikey.com/en/products/filter/ceramic-capacitors/60"/>
    <hyperlink ref="D11" r:id="rId10" display="https://www.digikey.com/en/products/filter/ceramic-capacitors/60"/>
    <hyperlink ref="D12" r:id="rId11" display="https://www.digikey.com/en/products/filter/ceramic-capacitors/60"/>
    <hyperlink ref="D13" r:id="rId12" display="https://www.digikey.com/en/products/filter/ceramic-capacitors/60"/>
    <hyperlink ref="D14" r:id="rId13" display="https://www.digikey.com/en/products/filter/ceramic-capacitors/60"/>
    <hyperlink ref="D15" r:id="rId14" display="https://www.digikey.com/en/products/filter/film-capacitors/62"/>
    <hyperlink ref="Q15" r:id="rId15"/>
    <hyperlink ref="D16" r:id="rId16" display="https://www.digikey.com/en/products/filter/aluminum-electrolytic-capacitors/58"/>
    <hyperlink ref="P16" r:id="rId17"/>
    <hyperlink ref="D17" r:id="rId18" display="https://www.digikey.com/en/products/filter/aluminum-electrolytic-capacitors/58"/>
    <hyperlink ref="D18" r:id="rId19" display="https://www.digikey.com/en/products/filter/aluminum-electrolytic-capacitors/58"/>
    <hyperlink ref="H18" r:id="rId20" display="https://www.digikey.com/en/products/filter/ceramic-capacitors/50v/60?s=N4IgjCBcpgLFoDGUBmBDANgZwKYBoQA3AOygBcAnAV3xAHsoBtEAJgGYAOAdk5AF0CABzJQQAZUoBLYgHMQAX0VA"/>
    <hyperlink ref="D19" r:id="rId21" display="https://www.digikey.com/en/products/filter/aluminum-electrolytic-capacitors/58"/>
    <hyperlink ref="D20" r:id="rId22" display="https://www.digikey.com/en/products/filter/ceramic-capacitors/60"/>
    <hyperlink ref="P20" display="https://shopee.vn/T%E1%BB%A5-s%E1%BB%A9-v%C3%A0ng-104-100nF-0.1uF-50V-10-5.08mm-ch%E1%BA%A5t-l%C6%B0%E1%BB%A3ng-t%E1%BB%91t-(10c)-Linh-ki%E1%BB%87n-HT-i.1018903557.23674770970?sp_atk=980dfd78-bd79-49d9-acaf-0b84a868f613&amp;xptdk=980dfd78-bd79-49d9-acaf-0b84a"/>
    <hyperlink ref="D22" r:id="rId23" display="https://www.digikey.com/en/products/filter/aluminum-electrolytic-capacitors/58"/>
    <hyperlink ref="E22" r:id="rId24" display="https://www.digikey.com/en/products/filter/aluminum-electrolytic-capacitors/100-%C2%B5f/58?s=N4IgjCBcoEwAwBYCcVQGMoDMCGAbAzgKYA0IAbgHZQAuATgK4kgD2UA2uHHAAQCtAYiAC6pAA7UoIAKoUAltQDymALKFs%2BerUIgAvnqA"/>
    <hyperlink ref="Q22" r:id="rId25"/>
    <hyperlink ref="D21" r:id="rId26" display="https://www.digikey.com/en/products/filter/ceramic-capacitors/60"/>
    <hyperlink ref="D23" r:id="rId27" display="https://www.digikey.com/en/products/filter/aluminum-electrolytic-capacitors/58"/>
    <hyperlink ref="D24" r:id="rId28" display="https://www.digikey.com/en/products/filter/aluminum-polymer-capacitors/69"/>
    <hyperlink ref="D26" r:id="rId29" display="https://www.digikey.com/en/products/filter/film-capacitors/62"/>
    <hyperlink ref="J26" r:id="rId30" display="https://www.digikey.com/en/products/filter/film-capacitors/radial/62?s=N4IgjCBcpgbFoDGUBmBDANgZwKYBoQA3AOygBcAnAV3xAHsoBtEAZgE4AmDgdgA4QAugQAOZKCADKlAJbEA5iAC%2ByoA"/>
    <hyperlink ref="P26" r:id="rId31"/>
    <hyperlink ref="Q25" r:id="rId32"/>
    <hyperlink ref="P25" r:id="rId33"/>
    <hyperlink ref="D27" r:id="rId34" display="https://www.digikey.com/en/products/filter/ceramic-capacitors/60"/>
    <hyperlink ref="H27" r:id="rId35" display="https://www.digikey.com/en/products/filter/ceramic-capacitors/500v/60?s=N4IgjCBcpgLFoDGUBmBDANgZwKYBoQA3AOygBcAnAV3xAHsoBtEAJgGYB2N2DkAXQIAHMlBABlSgEtiAcxABfRUA"/>
    <hyperlink ref="Q27" r:id="rId36"/>
    <hyperlink ref="P28" r:id="rId37"/>
    <hyperlink ref="Q29" r:id="rId38"/>
    <hyperlink ref="Q30" r:id="rId39"/>
    <hyperlink ref="P30" r:id="rId40"/>
    <hyperlink ref="Q31" r:id="rId41"/>
    <hyperlink ref="Q32" r:id="rId42"/>
    <hyperlink ref="Q33" r:id="rId43"/>
    <hyperlink ref="P33" r:id="rId44"/>
    <hyperlink ref="Q34" r:id="rId45"/>
    <hyperlink ref="Q35" r:id="rId46"/>
    <hyperlink ref="Q36" r:id="rId47"/>
    <hyperlink ref="P36" r:id="rId48"/>
  </hyperlinks>
  <pageMargins left="0.7" right="0.7" top="0.75" bottom="0.75" header="0.3" footer="0.3"/>
  <pageSetup orientation="portrait" r:id="rId49"/>
  <tableParts count="1">
    <tablePart r:id="rId5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0"/>
  <sheetViews>
    <sheetView workbookViewId="0">
      <selection activeCell="G17" sqref="G17"/>
    </sheetView>
  </sheetViews>
  <sheetFormatPr defaultRowHeight="14.4"/>
  <cols>
    <col min="1" max="1" width="16.21875" customWidth="1"/>
    <col min="3" max="3" width="21.21875" customWidth="1"/>
    <col min="4" max="4" width="17" customWidth="1"/>
    <col min="15" max="15" width="15.33203125" customWidth="1"/>
    <col min="18" max="18" width="14.88671875" customWidth="1"/>
    <col min="19" max="19" width="19.77734375" customWidth="1"/>
  </cols>
  <sheetData>
    <row r="1" spans="1:19">
      <c r="A1" t="s">
        <v>33</v>
      </c>
      <c r="B1" t="s">
        <v>5</v>
      </c>
      <c r="C1" t="s">
        <v>4</v>
      </c>
      <c r="D1" t="s">
        <v>6</v>
      </c>
      <c r="E1" t="s">
        <v>0</v>
      </c>
      <c r="F1" t="s">
        <v>11</v>
      </c>
      <c r="G1" t="s">
        <v>10</v>
      </c>
      <c r="H1" t="s">
        <v>13</v>
      </c>
      <c r="I1" t="s">
        <v>14</v>
      </c>
      <c r="J1" t="s">
        <v>3</v>
      </c>
      <c r="K1" t="s">
        <v>7</v>
      </c>
      <c r="L1" t="s">
        <v>8</v>
      </c>
      <c r="M1" t="s">
        <v>9</v>
      </c>
      <c r="N1" t="s">
        <v>12</v>
      </c>
      <c r="O1" t="s">
        <v>15</v>
      </c>
      <c r="P1" t="s">
        <v>16</v>
      </c>
      <c r="Q1" t="s">
        <v>17</v>
      </c>
      <c r="R1" t="s">
        <v>1</v>
      </c>
      <c r="S1" t="s">
        <v>2</v>
      </c>
    </row>
    <row r="2" spans="1:19">
      <c r="A2" t="s">
        <v>171</v>
      </c>
      <c r="B2" t="s">
        <v>172</v>
      </c>
      <c r="C2" t="s">
        <v>173</v>
      </c>
      <c r="D2" t="s">
        <v>174</v>
      </c>
      <c r="H2" t="s">
        <v>175</v>
      </c>
      <c r="I2" t="s">
        <v>176</v>
      </c>
      <c r="J2" t="s">
        <v>177</v>
      </c>
      <c r="O2" t="s">
        <v>22</v>
      </c>
      <c r="P2" t="s">
        <v>179</v>
      </c>
      <c r="Q2" t="s">
        <v>178</v>
      </c>
      <c r="R2" s="1" t="s">
        <v>181</v>
      </c>
      <c r="S2" s="3" t="s">
        <v>180</v>
      </c>
    </row>
    <row r="3" spans="1:19">
      <c r="A3" t="s">
        <v>230</v>
      </c>
      <c r="B3" t="s">
        <v>231</v>
      </c>
      <c r="C3" t="s">
        <v>232</v>
      </c>
      <c r="D3" t="s">
        <v>233</v>
      </c>
      <c r="H3" t="s">
        <v>234</v>
      </c>
      <c r="I3" t="s">
        <v>235</v>
      </c>
      <c r="J3" t="s">
        <v>236</v>
      </c>
      <c r="O3" t="s">
        <v>22</v>
      </c>
      <c r="P3" t="s">
        <v>238</v>
      </c>
      <c r="Q3" t="s">
        <v>237</v>
      </c>
      <c r="R3" t="s">
        <v>181</v>
      </c>
      <c r="S3" t="s">
        <v>239</v>
      </c>
    </row>
    <row r="4" spans="1:19">
      <c r="A4" t="s">
        <v>327</v>
      </c>
      <c r="B4" t="s">
        <v>328</v>
      </c>
      <c r="C4" t="s">
        <v>329</v>
      </c>
      <c r="D4" t="s">
        <v>330</v>
      </c>
      <c r="H4" t="s">
        <v>331</v>
      </c>
      <c r="I4" t="s">
        <v>235</v>
      </c>
      <c r="J4" t="s">
        <v>332</v>
      </c>
      <c r="O4" t="s">
        <v>22</v>
      </c>
      <c r="P4" t="s">
        <v>333</v>
      </c>
      <c r="Q4" t="s">
        <v>334</v>
      </c>
      <c r="R4" t="s">
        <v>181</v>
      </c>
      <c r="S4" t="s">
        <v>239</v>
      </c>
    </row>
    <row r="5" spans="1:19">
      <c r="A5" t="s">
        <v>515</v>
      </c>
      <c r="B5" t="s">
        <v>516</v>
      </c>
      <c r="C5" t="s">
        <v>517</v>
      </c>
      <c r="D5" t="s">
        <v>518</v>
      </c>
      <c r="H5" t="s">
        <v>519</v>
      </c>
      <c r="I5" t="s">
        <v>520</v>
      </c>
      <c r="J5" t="s">
        <v>177</v>
      </c>
      <c r="O5" t="s">
        <v>22</v>
      </c>
      <c r="P5" t="s">
        <v>522</v>
      </c>
      <c r="Q5" t="s">
        <v>521</v>
      </c>
      <c r="R5" t="s">
        <v>513</v>
      </c>
      <c r="S5" t="s">
        <v>514</v>
      </c>
    </row>
    <row r="6" spans="1:19">
      <c r="A6" t="s">
        <v>650</v>
      </c>
      <c r="B6" t="s">
        <v>651</v>
      </c>
      <c r="C6" t="s">
        <v>652</v>
      </c>
      <c r="D6" t="s">
        <v>653</v>
      </c>
      <c r="H6" t="s">
        <v>234</v>
      </c>
      <c r="I6" t="s">
        <v>655</v>
      </c>
      <c r="J6" t="s">
        <v>654</v>
      </c>
      <c r="O6" t="s">
        <v>22</v>
      </c>
      <c r="P6" t="s">
        <v>649</v>
      </c>
      <c r="Q6" t="s">
        <v>657</v>
      </c>
      <c r="R6" t="s">
        <v>656</v>
      </c>
      <c r="S6" t="s">
        <v>658</v>
      </c>
    </row>
    <row r="7" spans="1:19">
      <c r="A7" t="s">
        <v>861</v>
      </c>
      <c r="B7" t="s">
        <v>862</v>
      </c>
      <c r="C7" t="s">
        <v>863</v>
      </c>
      <c r="D7" t="s">
        <v>864</v>
      </c>
      <c r="H7" t="s">
        <v>865</v>
      </c>
      <c r="I7" t="s">
        <v>235</v>
      </c>
      <c r="J7" t="s">
        <v>866</v>
      </c>
      <c r="O7" t="s">
        <v>22</v>
      </c>
      <c r="P7" t="s">
        <v>880</v>
      </c>
      <c r="Q7" t="s">
        <v>879</v>
      </c>
      <c r="R7" t="s">
        <v>861</v>
      </c>
      <c r="S7" t="s">
        <v>861</v>
      </c>
    </row>
    <row r="8" spans="1:19">
      <c r="A8" t="s">
        <v>960</v>
      </c>
      <c r="B8" t="s">
        <v>961</v>
      </c>
      <c r="C8" t="s">
        <v>962</v>
      </c>
      <c r="D8" t="s">
        <v>330</v>
      </c>
      <c r="H8" t="s">
        <v>331</v>
      </c>
      <c r="I8" t="s">
        <v>235</v>
      </c>
      <c r="J8" t="s">
        <v>963</v>
      </c>
      <c r="O8" t="s">
        <v>22</v>
      </c>
      <c r="P8" t="s">
        <v>965</v>
      </c>
      <c r="Q8" t="s">
        <v>964</v>
      </c>
      <c r="R8" t="s">
        <v>656</v>
      </c>
      <c r="S8" t="s">
        <v>239</v>
      </c>
    </row>
    <row r="9" spans="1:19">
      <c r="A9" t="s">
        <v>966</v>
      </c>
      <c r="B9" t="s">
        <v>967</v>
      </c>
      <c r="C9" t="s">
        <v>968</v>
      </c>
      <c r="D9" t="s">
        <v>969</v>
      </c>
      <c r="H9" t="s">
        <v>156</v>
      </c>
      <c r="I9" t="s">
        <v>655</v>
      </c>
      <c r="J9" t="s">
        <v>970</v>
      </c>
      <c r="O9" t="s">
        <v>22</v>
      </c>
      <c r="P9" t="s">
        <v>972</v>
      </c>
      <c r="Q9" t="s">
        <v>971</v>
      </c>
      <c r="R9" t="s">
        <v>181</v>
      </c>
      <c r="S9" t="s">
        <v>970</v>
      </c>
    </row>
    <row r="10" spans="1:19">
      <c r="A10" t="s">
        <v>1047</v>
      </c>
      <c r="B10" t="s">
        <v>1048</v>
      </c>
      <c r="C10" t="s">
        <v>1049</v>
      </c>
      <c r="D10" t="s">
        <v>1050</v>
      </c>
      <c r="E10" s="9"/>
      <c r="G10" t="s">
        <v>1053</v>
      </c>
      <c r="H10" t="s">
        <v>1051</v>
      </c>
      <c r="I10" t="s">
        <v>1052</v>
      </c>
      <c r="J10" t="s">
        <v>1054</v>
      </c>
      <c r="O10" t="s">
        <v>22</v>
      </c>
      <c r="P10" s="5" t="s">
        <v>1056</v>
      </c>
      <c r="Q10" s="5" t="s">
        <v>1055</v>
      </c>
      <c r="R10" t="s">
        <v>1046</v>
      </c>
      <c r="S10" t="s">
        <v>1057</v>
      </c>
    </row>
  </sheetData>
  <hyperlinks>
    <hyperlink ref="B2" r:id="rId1" display="https://www.mouser.com/manufacturer/fairchild-semiconductor/"/>
    <hyperlink ref="D3" r:id="rId2" display="https://www.digikey.com/en/products/filter/diodes/rectifiers/single-diodes/280"/>
    <hyperlink ref="D4" r:id="rId3" tooltip="Diodes/Diodes - General Purpose" display="https://lcsc.com/products/Diodes-General-Purpose_370.html"/>
    <hyperlink ref="D5" r:id="rId4" display="https://www.digikey.com/en/products/filter/transient-voltage-suppressors-tvs/tvs-diodes/144"/>
    <hyperlink ref="P6" r:id="rId5"/>
    <hyperlink ref="B6" r:id="rId6" display="https://www.mouser.vn/manufacturer/rectron/"/>
    <hyperlink ref="D7" r:id="rId7" display="https://www.digikey.com/en/products/filter/diodes/bridge-rectifiers/299"/>
    <hyperlink ref="Q7" r:id="rId8"/>
    <hyperlink ref="Q8" r:id="rId9"/>
    <hyperlink ref="D9" r:id="rId10" tooltip="Diodes/Schottky Diodes" display="https://www.lcsc.com/category/373.html"/>
    <hyperlink ref="Q9" r:id="rId11"/>
    <hyperlink ref="P9" display="https://shopee.vn/5-Diode-SR5150-%C4%90i-%E1%BB%91t-ch%E1%BB%89nh-l%C6%B0u-SR5150-5A-150V-i.85210545.25806473755?utm_source=coccoc.com&amp;utm_medium=cpc&amp;utm_campaign=VN_COM_SEM_STA_NB_PDPB|TopProducts&amp;utm_term=non%20branded&amp;utm_content=44970352&amp;ctm_event_id="/>
    <hyperlink ref="Q10" r:id="rId12"/>
    <hyperlink ref="P10" r:id="rId13"/>
  </hyperlinks>
  <pageMargins left="0.7" right="0.7" top="0.75" bottom="0.75" header="0.3" footer="0.3"/>
  <pageSetup orientation="portrait" r:id="rId14"/>
  <tableParts count="1">
    <tablePart r:id="rId1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"/>
  <sheetViews>
    <sheetView workbookViewId="0">
      <selection activeCell="J24" sqref="J24"/>
    </sheetView>
  </sheetViews>
  <sheetFormatPr defaultRowHeight="14.4"/>
  <cols>
    <col min="1" max="1" width="17.33203125" customWidth="1"/>
    <col min="3" max="3" width="22.5546875" customWidth="1"/>
  </cols>
  <sheetData>
    <row r="1" spans="1:20">
      <c r="A1" t="s">
        <v>33</v>
      </c>
      <c r="B1" t="s">
        <v>5</v>
      </c>
      <c r="C1" t="s">
        <v>4</v>
      </c>
      <c r="D1" t="s">
        <v>6</v>
      </c>
      <c r="E1" t="s">
        <v>0</v>
      </c>
      <c r="F1" t="s">
        <v>11</v>
      </c>
      <c r="G1" t="s">
        <v>10</v>
      </c>
      <c r="H1" t="s">
        <v>13</v>
      </c>
      <c r="I1" t="s">
        <v>14</v>
      </c>
      <c r="J1" t="s">
        <v>1139</v>
      </c>
      <c r="K1" t="s">
        <v>3</v>
      </c>
      <c r="L1" t="s">
        <v>7</v>
      </c>
      <c r="M1" t="s">
        <v>8</v>
      </c>
      <c r="N1" t="s">
        <v>9</v>
      </c>
      <c r="O1" t="s">
        <v>12</v>
      </c>
      <c r="P1" t="s">
        <v>15</v>
      </c>
      <c r="Q1" t="s">
        <v>16</v>
      </c>
      <c r="R1" t="s">
        <v>17</v>
      </c>
      <c r="S1" t="s">
        <v>1</v>
      </c>
      <c r="T1" t="s">
        <v>2</v>
      </c>
    </row>
    <row r="2" spans="1:20">
      <c r="A2" t="s">
        <v>54</v>
      </c>
      <c r="B2" t="s">
        <v>55</v>
      </c>
      <c r="C2" t="s">
        <v>56</v>
      </c>
      <c r="D2" t="s">
        <v>57</v>
      </c>
      <c r="H2" t="s">
        <v>59</v>
      </c>
      <c r="I2" t="s">
        <v>60</v>
      </c>
      <c r="K2" t="s">
        <v>58</v>
      </c>
      <c r="P2" t="s">
        <v>22</v>
      </c>
      <c r="Q2" t="s">
        <v>61</v>
      </c>
      <c r="R2" t="s">
        <v>62</v>
      </c>
      <c r="S2" t="s">
        <v>54</v>
      </c>
      <c r="T2" t="s">
        <v>63</v>
      </c>
    </row>
    <row r="3" spans="1:20">
      <c r="A3" t="s">
        <v>64</v>
      </c>
      <c r="B3" t="s">
        <v>55</v>
      </c>
      <c r="C3" t="s">
        <v>65</v>
      </c>
      <c r="D3" t="s">
        <v>57</v>
      </c>
      <c r="H3" t="s">
        <v>59</v>
      </c>
      <c r="I3" t="s">
        <v>66</v>
      </c>
      <c r="K3" t="s">
        <v>58</v>
      </c>
      <c r="P3" t="s">
        <v>22</v>
      </c>
      <c r="Q3" t="s">
        <v>67</v>
      </c>
      <c r="R3" t="s">
        <v>62</v>
      </c>
      <c r="S3" t="s">
        <v>64</v>
      </c>
      <c r="T3" t="s">
        <v>68</v>
      </c>
    </row>
    <row r="4" spans="1:20">
      <c r="A4" t="s">
        <v>1135</v>
      </c>
      <c r="B4" t="s">
        <v>1134</v>
      </c>
      <c r="C4" t="s">
        <v>1136</v>
      </c>
      <c r="D4" t="s">
        <v>57</v>
      </c>
      <c r="F4" t="s">
        <v>59</v>
      </c>
      <c r="G4" t="s">
        <v>59</v>
      </c>
      <c r="H4" t="s">
        <v>1137</v>
      </c>
      <c r="I4" t="s">
        <v>1138</v>
      </c>
      <c r="J4" t="s">
        <v>1140</v>
      </c>
      <c r="K4" t="s">
        <v>1141</v>
      </c>
      <c r="P4" t="s">
        <v>22</v>
      </c>
      <c r="Q4" t="s">
        <v>1143</v>
      </c>
      <c r="R4" t="s">
        <v>1142</v>
      </c>
      <c r="S4" t="s">
        <v>1135</v>
      </c>
      <c r="T4" t="s">
        <v>1144</v>
      </c>
    </row>
  </sheetData>
  <hyperlinks>
    <hyperlink ref="D2" r:id="rId1" tooltip="Relays/Power Relays" display="https://lcsc.com/products/Power-Relays_531.html"/>
    <hyperlink ref="D3" r:id="rId2" tooltip="Relays/Power Relays" display="https://lcsc.com/products/Power-Relays_531.html"/>
    <hyperlink ref="H4" r:id="rId3"/>
    <hyperlink ref="R4" r:id="rId4"/>
    <hyperlink ref="Q4" display="https://shopee.vn/product/1543525695/42653151373?gads_t_sig=VTJGc2RHVmtYMTlxTFVSVVRrdENkZmdTUmpMeSszRElEdm91eXFrOVhzNXdCSHB2OWZFazc3YWFyLzk4cDk5TlBNNDkwcGYybXZvb3p1MzAzWkloV0MzTmppbXhxWlc3ZU9SYzA2dmFESmJkeEFmMVdVK2RBZjhBL3drY242N2xIZUVRM1NSM1NUNXZWZEFLVGh"/>
  </hyperlinks>
  <pageMargins left="0.7" right="0.7" top="0.75" bottom="0.75" header="0.3" footer="0.3"/>
  <pageSetup orientation="portrait" horizontalDpi="300" verticalDpi="300" r:id="rId5"/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11"/>
  <sheetViews>
    <sheetView topLeftCell="D1" workbookViewId="0">
      <selection activeCell="L30" sqref="L30"/>
    </sheetView>
  </sheetViews>
  <sheetFormatPr defaultRowHeight="14.4"/>
  <cols>
    <col min="1" max="1" width="19.6640625" customWidth="1"/>
    <col min="2" max="2" width="16.44140625" customWidth="1"/>
    <col min="3" max="3" width="34.109375" customWidth="1"/>
    <col min="4" max="4" width="14.6640625" customWidth="1"/>
    <col min="10" max="10" width="8.88671875" style="1"/>
    <col min="18" max="18" width="19.21875" customWidth="1"/>
    <col min="19" max="19" width="20.21875" customWidth="1"/>
  </cols>
  <sheetData>
    <row r="1" spans="1:19">
      <c r="A1" t="s">
        <v>33</v>
      </c>
      <c r="B1" t="s">
        <v>5</v>
      </c>
      <c r="C1" t="s">
        <v>4</v>
      </c>
      <c r="D1" t="s">
        <v>6</v>
      </c>
      <c r="E1" t="s">
        <v>0</v>
      </c>
      <c r="F1" t="s">
        <v>11</v>
      </c>
      <c r="G1" t="s">
        <v>10</v>
      </c>
      <c r="H1" t="s">
        <v>13</v>
      </c>
      <c r="I1" t="s">
        <v>14</v>
      </c>
      <c r="J1" s="1" t="s">
        <v>3</v>
      </c>
      <c r="K1" t="s">
        <v>7</v>
      </c>
      <c r="L1" t="s">
        <v>8</v>
      </c>
      <c r="M1" t="s">
        <v>9</v>
      </c>
      <c r="N1" t="s">
        <v>12</v>
      </c>
      <c r="O1" t="s">
        <v>15</v>
      </c>
      <c r="P1" t="s">
        <v>16</v>
      </c>
      <c r="Q1" t="s">
        <v>17</v>
      </c>
      <c r="R1" t="s">
        <v>1</v>
      </c>
      <c r="S1" t="s">
        <v>2</v>
      </c>
    </row>
    <row r="2" spans="1:19">
      <c r="A2" t="s">
        <v>77</v>
      </c>
      <c r="B2" t="s">
        <v>78</v>
      </c>
      <c r="C2" t="s">
        <v>80</v>
      </c>
      <c r="D2" t="s">
        <v>79</v>
      </c>
      <c r="J2" s="1" t="s">
        <v>81</v>
      </c>
      <c r="O2" t="s">
        <v>22</v>
      </c>
      <c r="P2" t="s">
        <v>82</v>
      </c>
      <c r="Q2" t="s">
        <v>76</v>
      </c>
      <c r="R2" t="s">
        <v>77</v>
      </c>
      <c r="S2" t="s">
        <v>87</v>
      </c>
    </row>
    <row r="3" spans="1:19">
      <c r="A3" t="s">
        <v>83</v>
      </c>
      <c r="B3" t="s">
        <v>78</v>
      </c>
      <c r="C3" t="s">
        <v>88</v>
      </c>
      <c r="D3" t="s">
        <v>89</v>
      </c>
      <c r="J3" s="1" t="s">
        <v>90</v>
      </c>
      <c r="O3" t="s">
        <v>22</v>
      </c>
      <c r="P3" t="s">
        <v>92</v>
      </c>
      <c r="Q3" t="s">
        <v>91</v>
      </c>
      <c r="R3" t="s">
        <v>83</v>
      </c>
      <c r="S3" t="s">
        <v>93</v>
      </c>
    </row>
    <row r="4" spans="1:19">
      <c r="A4" t="s">
        <v>415</v>
      </c>
      <c r="B4" t="s">
        <v>416</v>
      </c>
      <c r="C4" t="s">
        <v>417</v>
      </c>
      <c r="D4" t="s">
        <v>418</v>
      </c>
      <c r="H4" t="s">
        <v>420</v>
      </c>
      <c r="I4" t="s">
        <v>419</v>
      </c>
      <c r="J4" s="1" t="s">
        <v>243</v>
      </c>
      <c r="O4" t="s">
        <v>22</v>
      </c>
      <c r="P4" t="s">
        <v>414</v>
      </c>
      <c r="Q4" t="s">
        <v>421</v>
      </c>
      <c r="R4" t="s">
        <v>422</v>
      </c>
      <c r="S4" t="s">
        <v>424</v>
      </c>
    </row>
    <row r="5" spans="1:19">
      <c r="A5" t="s">
        <v>440</v>
      </c>
      <c r="B5" t="s">
        <v>441</v>
      </c>
      <c r="C5" t="s">
        <v>442</v>
      </c>
      <c r="D5" t="s">
        <v>418</v>
      </c>
      <c r="H5" t="s">
        <v>443</v>
      </c>
      <c r="I5" t="s">
        <v>444</v>
      </c>
      <c r="J5" s="1" t="s">
        <v>243</v>
      </c>
      <c r="O5" t="s">
        <v>22</v>
      </c>
      <c r="P5" t="s">
        <v>446</v>
      </c>
      <c r="Q5" t="s">
        <v>445</v>
      </c>
      <c r="R5" t="s">
        <v>425</v>
      </c>
      <c r="S5" t="s">
        <v>430</v>
      </c>
    </row>
    <row r="6" spans="1:19">
      <c r="A6" t="s">
        <v>452</v>
      </c>
      <c r="B6" t="s">
        <v>441</v>
      </c>
      <c r="C6" t="s">
        <v>453</v>
      </c>
      <c r="D6" t="s">
        <v>418</v>
      </c>
      <c r="H6" t="s">
        <v>454</v>
      </c>
      <c r="I6" t="s">
        <v>437</v>
      </c>
      <c r="J6" s="1" t="s">
        <v>243</v>
      </c>
      <c r="O6" t="s">
        <v>22</v>
      </c>
      <c r="P6" t="s">
        <v>456</v>
      </c>
      <c r="Q6" t="s">
        <v>455</v>
      </c>
      <c r="R6" t="s">
        <v>426</v>
      </c>
      <c r="S6" t="s">
        <v>431</v>
      </c>
    </row>
    <row r="7" spans="1:19">
      <c r="A7" t="s">
        <v>447</v>
      </c>
      <c r="B7" t="s">
        <v>416</v>
      </c>
      <c r="C7" t="s">
        <v>448</v>
      </c>
      <c r="D7" t="s">
        <v>418</v>
      </c>
      <c r="H7" t="s">
        <v>449</v>
      </c>
      <c r="I7" t="s">
        <v>437</v>
      </c>
      <c r="J7" t="s">
        <v>243</v>
      </c>
      <c r="O7" t="s">
        <v>22</v>
      </c>
      <c r="P7" t="s">
        <v>451</v>
      </c>
      <c r="Q7" t="s">
        <v>450</v>
      </c>
      <c r="R7" t="s">
        <v>427</v>
      </c>
      <c r="S7" t="s">
        <v>423</v>
      </c>
    </row>
    <row r="8" spans="1:19">
      <c r="A8" t="s">
        <v>458</v>
      </c>
      <c r="B8" t="s">
        <v>441</v>
      </c>
      <c r="C8" t="s">
        <v>459</v>
      </c>
      <c r="D8" t="s">
        <v>418</v>
      </c>
      <c r="H8" t="s">
        <v>443</v>
      </c>
      <c r="I8" t="s">
        <v>437</v>
      </c>
      <c r="J8" t="s">
        <v>243</v>
      </c>
      <c r="O8" t="s">
        <v>22</v>
      </c>
      <c r="P8" t="s">
        <v>457</v>
      </c>
      <c r="Q8" t="s">
        <v>460</v>
      </c>
      <c r="R8" t="s">
        <v>428</v>
      </c>
      <c r="S8" t="s">
        <v>432</v>
      </c>
    </row>
    <row r="9" spans="1:19">
      <c r="A9" t="s">
        <v>434</v>
      </c>
      <c r="B9" t="s">
        <v>416</v>
      </c>
      <c r="C9" t="s">
        <v>435</v>
      </c>
      <c r="D9" t="s">
        <v>418</v>
      </c>
      <c r="H9" t="s">
        <v>436</v>
      </c>
      <c r="I9" t="s">
        <v>437</v>
      </c>
      <c r="J9" s="1" t="s">
        <v>243</v>
      </c>
      <c r="O9" t="s">
        <v>22</v>
      </c>
      <c r="P9" t="s">
        <v>439</v>
      </c>
      <c r="Q9" t="s">
        <v>438</v>
      </c>
      <c r="R9" t="s">
        <v>429</v>
      </c>
      <c r="S9" t="s">
        <v>433</v>
      </c>
    </row>
    <row r="10" spans="1:19">
      <c r="A10" t="s">
        <v>465</v>
      </c>
      <c r="B10" t="s">
        <v>441</v>
      </c>
      <c r="C10" t="s">
        <v>466</v>
      </c>
      <c r="D10" t="s">
        <v>418</v>
      </c>
      <c r="H10" t="s">
        <v>443</v>
      </c>
      <c r="I10" t="s">
        <v>437</v>
      </c>
      <c r="J10" s="1" t="s">
        <v>243</v>
      </c>
      <c r="O10" t="s">
        <v>22</v>
      </c>
      <c r="P10" t="s">
        <v>446</v>
      </c>
      <c r="Q10" t="s">
        <v>467</v>
      </c>
      <c r="R10" t="s">
        <v>468</v>
      </c>
      <c r="S10" t="s">
        <v>469</v>
      </c>
    </row>
    <row r="11" spans="1:19">
      <c r="A11" t="s">
        <v>633</v>
      </c>
      <c r="B11" t="s">
        <v>99</v>
      </c>
      <c r="C11" t="s">
        <v>634</v>
      </c>
      <c r="D11" t="s">
        <v>635</v>
      </c>
      <c r="H11" t="s">
        <v>636</v>
      </c>
      <c r="I11" t="s">
        <v>437</v>
      </c>
      <c r="J11"/>
      <c r="M11" t="s">
        <v>637</v>
      </c>
      <c r="O11" t="s">
        <v>22</v>
      </c>
      <c r="P11" s="5" t="s">
        <v>632</v>
      </c>
      <c r="Q11" t="s">
        <v>638</v>
      </c>
      <c r="R11" t="s">
        <v>640</v>
      </c>
      <c r="S11" t="s">
        <v>639</v>
      </c>
    </row>
  </sheetData>
  <hyperlinks>
    <hyperlink ref="D4" r:id="rId1" tooltip="Optoelectronics/LED Indication - Discrete" display="https://lcsc.com/products/LED-Indication-Discrete_528.html"/>
    <hyperlink ref="P4" r:id="rId2"/>
    <hyperlink ref="Q4" r:id="rId3"/>
    <hyperlink ref="D9" r:id="rId4" tooltip="Optoelectronics/LED Indication - Discrete" display="https://lcsc.com/products/LED-Indication-Discrete_528.html"/>
    <hyperlink ref="D5" r:id="rId5" tooltip="Optoelectronics/LED Indication - Discrete" display="https://lcsc.com/products/LED-Indication-Discrete_528.html"/>
    <hyperlink ref="D7" r:id="rId6" tooltip="Optoelectronics/LED Indication - Discrete" display="https://lcsc.com/products/LED-Indication-Discrete_528.html"/>
    <hyperlink ref="D6" r:id="rId7" tooltip="Optoelectronics/LED Indication - Discrete" display="https://lcsc.com/products/LED-Indication-Discrete_528.html"/>
    <hyperlink ref="D8" r:id="rId8" tooltip="Optoelectronics/LED Indication - Discrete" display="https://lcsc.com/products/LED-Indication-Discrete_528.html"/>
    <hyperlink ref="D10" r:id="rId9" tooltip="Optoelectronics/LED Indication - Discrete" display="https://lcsc.com/products/LED-Indication-Discrete_528.html"/>
    <hyperlink ref="D11" r:id="rId10" display="https://www.digikey.com/en/products/filter/led-indication-discrete/105"/>
    <hyperlink ref="P11" r:id="rId11"/>
  </hyperlinks>
  <pageMargins left="0.7" right="0.7" top="0.75" bottom="0.75" header="0.3" footer="0.3"/>
  <pageSetup orientation="portrait" r:id="rId12"/>
  <tableParts count="1">
    <tablePart r:id="rId1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3"/>
  <sheetViews>
    <sheetView workbookViewId="0">
      <selection activeCell="Q9" sqref="Q9"/>
    </sheetView>
  </sheetViews>
  <sheetFormatPr defaultRowHeight="14.4"/>
  <cols>
    <col min="1" max="1" width="18.21875" customWidth="1"/>
    <col min="2" max="2" width="13.33203125" customWidth="1"/>
    <col min="3" max="3" width="20.109375" customWidth="1"/>
    <col min="4" max="4" width="14.5546875" customWidth="1"/>
  </cols>
  <sheetData>
    <row r="1" spans="1:19">
      <c r="A1" t="s">
        <v>33</v>
      </c>
      <c r="B1" t="s">
        <v>5</v>
      </c>
      <c r="C1" t="s">
        <v>4</v>
      </c>
      <c r="D1" t="s">
        <v>6</v>
      </c>
      <c r="E1" t="s">
        <v>0</v>
      </c>
      <c r="F1" t="s">
        <v>11</v>
      </c>
      <c r="G1" t="s">
        <v>10</v>
      </c>
      <c r="H1" t="s">
        <v>13</v>
      </c>
      <c r="I1" t="s">
        <v>14</v>
      </c>
      <c r="J1" t="s">
        <v>3</v>
      </c>
      <c r="K1" t="s">
        <v>7</v>
      </c>
      <c r="L1" t="s">
        <v>8</v>
      </c>
      <c r="M1" t="s">
        <v>9</v>
      </c>
      <c r="N1" t="s">
        <v>12</v>
      </c>
      <c r="O1" t="s">
        <v>15</v>
      </c>
      <c r="P1" t="s">
        <v>16</v>
      </c>
      <c r="Q1" t="s">
        <v>17</v>
      </c>
      <c r="R1" t="s">
        <v>1</v>
      </c>
      <c r="S1" t="s">
        <v>2</v>
      </c>
    </row>
    <row r="2" spans="1:19">
      <c r="A2" t="s">
        <v>69</v>
      </c>
      <c r="B2" t="s">
        <v>70</v>
      </c>
      <c r="C2" t="s">
        <v>71</v>
      </c>
      <c r="D2" t="s">
        <v>72</v>
      </c>
      <c r="J2" t="s">
        <v>73</v>
      </c>
      <c r="O2" t="s">
        <v>22</v>
      </c>
      <c r="P2" t="s">
        <v>75</v>
      </c>
      <c r="Q2" t="s">
        <v>74</v>
      </c>
      <c r="R2" t="s">
        <v>69</v>
      </c>
      <c r="S2" t="s">
        <v>73</v>
      </c>
    </row>
    <row r="3" spans="1:19">
      <c r="A3" t="s">
        <v>1106</v>
      </c>
      <c r="B3" t="s">
        <v>530</v>
      </c>
      <c r="C3" t="s">
        <v>1107</v>
      </c>
      <c r="D3" t="s">
        <v>1108</v>
      </c>
      <c r="H3" t="s">
        <v>1109</v>
      </c>
      <c r="I3" t="s">
        <v>1110</v>
      </c>
      <c r="J3" t="s">
        <v>1111</v>
      </c>
      <c r="O3" t="s">
        <v>22</v>
      </c>
      <c r="Q3" s="5" t="s">
        <v>1112</v>
      </c>
      <c r="R3" t="s">
        <v>1106</v>
      </c>
      <c r="S3" t="s">
        <v>1113</v>
      </c>
    </row>
  </sheetData>
  <hyperlinks>
    <hyperlink ref="D2" r:id="rId1" tooltip="Transistors/Thyristors/Thyristors (SCR)/Modules" display="https://lcsc.com/products/Thyristors-SCR-Modules_388.html"/>
    <hyperlink ref="Q3" r:id="rId2"/>
  </hyperlinks>
  <pageMargins left="0.7" right="0.7" top="0.75" bottom="0.75" header="0.3" footer="0.3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4"/>
  <sheetViews>
    <sheetView zoomScaleNormal="100" workbookViewId="0">
      <selection activeCell="F15" sqref="F15"/>
    </sheetView>
  </sheetViews>
  <sheetFormatPr defaultRowHeight="14.4"/>
  <cols>
    <col min="1" max="1" width="14.21875" customWidth="1"/>
    <col min="2" max="2" width="17" customWidth="1"/>
    <col min="16" max="16" width="14.33203125" customWidth="1"/>
    <col min="18" max="18" width="17.44140625" customWidth="1"/>
    <col min="19" max="19" width="22.21875" customWidth="1"/>
  </cols>
  <sheetData>
    <row r="1" spans="1:19">
      <c r="A1" t="s">
        <v>33</v>
      </c>
      <c r="B1" t="s">
        <v>5</v>
      </c>
      <c r="C1" t="s">
        <v>4</v>
      </c>
      <c r="D1" t="s">
        <v>6</v>
      </c>
      <c r="E1" t="s">
        <v>0</v>
      </c>
      <c r="F1" t="s">
        <v>11</v>
      </c>
      <c r="G1" t="s">
        <v>10</v>
      </c>
      <c r="H1" t="s">
        <v>13</v>
      </c>
      <c r="I1" t="s">
        <v>14</v>
      </c>
      <c r="J1" t="s">
        <v>3</v>
      </c>
      <c r="K1" t="s">
        <v>7</v>
      </c>
      <c r="L1" t="s">
        <v>8</v>
      </c>
      <c r="M1" t="s">
        <v>9</v>
      </c>
      <c r="N1" t="s">
        <v>12</v>
      </c>
      <c r="O1" t="s">
        <v>15</v>
      </c>
      <c r="P1" t="s">
        <v>16</v>
      </c>
      <c r="Q1" t="s">
        <v>17</v>
      </c>
      <c r="R1" t="s">
        <v>1</v>
      </c>
      <c r="S1" t="s">
        <v>2</v>
      </c>
    </row>
    <row r="2" spans="1:19">
      <c r="A2" t="s">
        <v>95</v>
      </c>
      <c r="B2" t="s">
        <v>96</v>
      </c>
      <c r="O2" t="s">
        <v>22</v>
      </c>
      <c r="P2" t="s">
        <v>94</v>
      </c>
      <c r="R2" t="s">
        <v>97</v>
      </c>
      <c r="S2" t="s">
        <v>470</v>
      </c>
    </row>
    <row r="3" spans="1:19">
      <c r="A3" t="s">
        <v>722</v>
      </c>
      <c r="B3" t="s">
        <v>263</v>
      </c>
      <c r="C3" t="s">
        <v>723</v>
      </c>
      <c r="D3" t="s">
        <v>724</v>
      </c>
      <c r="H3" s="11" t="s">
        <v>59</v>
      </c>
      <c r="I3" s="11" t="s">
        <v>726</v>
      </c>
      <c r="J3" t="s">
        <v>725</v>
      </c>
      <c r="O3" t="s">
        <v>22</v>
      </c>
      <c r="P3" t="s">
        <v>728</v>
      </c>
      <c r="Q3" t="s">
        <v>727</v>
      </c>
      <c r="R3" t="s">
        <v>729</v>
      </c>
      <c r="S3" t="s">
        <v>729</v>
      </c>
    </row>
    <row r="4" spans="1:19">
      <c r="A4" t="s">
        <v>730</v>
      </c>
      <c r="B4" t="s">
        <v>731</v>
      </c>
      <c r="C4" t="s">
        <v>732</v>
      </c>
      <c r="D4" t="s">
        <v>733</v>
      </c>
      <c r="H4" t="s">
        <v>734</v>
      </c>
      <c r="I4" t="s">
        <v>735</v>
      </c>
      <c r="J4" t="s">
        <v>569</v>
      </c>
      <c r="O4" t="s">
        <v>22</v>
      </c>
      <c r="P4" t="s">
        <v>737</v>
      </c>
      <c r="Q4" t="s">
        <v>736</v>
      </c>
      <c r="R4" t="s">
        <v>739</v>
      </c>
      <c r="S4" t="s">
        <v>738</v>
      </c>
    </row>
  </sheetData>
  <hyperlinks>
    <hyperlink ref="D3" r:id="rId1" tooltip="Switches/Tactile Switches" display="https://www.lcsc.com/category/427.html"/>
    <hyperlink ref="D4" r:id="rId2" display="https://www.digikey.com/en/products/filter/pushbutton-switches/199"/>
  </hyperlinks>
  <pageMargins left="0.7" right="0.7" top="0.75" bottom="0.75" header="0.3" footer="0.3"/>
  <pageSetup orientation="portrait" horizontalDpi="300" verticalDpi="300"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20"/>
  <sheetViews>
    <sheetView workbookViewId="0">
      <selection activeCell="A11" sqref="A11"/>
    </sheetView>
  </sheetViews>
  <sheetFormatPr defaultRowHeight="14.4"/>
  <cols>
    <col min="1" max="1" width="20.77734375" customWidth="1"/>
    <col min="3" max="3" width="22.33203125" customWidth="1"/>
    <col min="10" max="10" width="19.21875" customWidth="1"/>
    <col min="14" max="14" width="16.88671875" customWidth="1"/>
    <col min="15" max="15" width="15.44140625" customWidth="1"/>
    <col min="18" max="18" width="18.21875" customWidth="1"/>
    <col min="19" max="19" width="17.109375" customWidth="1"/>
    <col min="20" max="20" width="21.5546875" customWidth="1"/>
  </cols>
  <sheetData>
    <row r="1" spans="1:20">
      <c r="A1" t="s">
        <v>33</v>
      </c>
      <c r="B1" t="s">
        <v>5</v>
      </c>
      <c r="C1" t="s">
        <v>4</v>
      </c>
      <c r="D1" t="s">
        <v>6</v>
      </c>
      <c r="E1" t="s">
        <v>0</v>
      </c>
      <c r="F1" t="s">
        <v>11</v>
      </c>
      <c r="G1" t="s">
        <v>10</v>
      </c>
      <c r="H1" t="s">
        <v>13</v>
      </c>
      <c r="I1" t="s">
        <v>14</v>
      </c>
      <c r="J1" t="s">
        <v>3</v>
      </c>
      <c r="K1" t="s">
        <v>7</v>
      </c>
      <c r="L1" t="s">
        <v>8</v>
      </c>
      <c r="M1" t="s">
        <v>9</v>
      </c>
      <c r="N1" t="s">
        <v>12</v>
      </c>
      <c r="O1" t="s">
        <v>15</v>
      </c>
      <c r="P1" t="s">
        <v>16</v>
      </c>
      <c r="Q1" t="s">
        <v>17</v>
      </c>
      <c r="R1" t="s">
        <v>1</v>
      </c>
      <c r="S1" t="s">
        <v>2</v>
      </c>
      <c r="T1" t="s">
        <v>755</v>
      </c>
    </row>
    <row r="2" spans="1:20">
      <c r="A2" s="1" t="s">
        <v>84</v>
      </c>
      <c r="B2" s="1"/>
      <c r="C2" s="1" t="s">
        <v>84</v>
      </c>
      <c r="D2" s="1"/>
      <c r="E2" s="1"/>
      <c r="F2" s="6">
        <f>Components912[[#This Row],[Value]]</f>
        <v>0</v>
      </c>
      <c r="G2" s="1"/>
      <c r="H2" s="1"/>
      <c r="I2" s="1"/>
      <c r="J2" s="2"/>
      <c r="K2" s="1"/>
      <c r="L2" s="1"/>
      <c r="M2" s="1"/>
      <c r="O2" s="1" t="s">
        <v>22</v>
      </c>
      <c r="R2" s="1" t="s">
        <v>85</v>
      </c>
      <c r="S2" s="3" t="s">
        <v>86</v>
      </c>
    </row>
    <row r="3" spans="1:20">
      <c r="A3">
        <v>7471287</v>
      </c>
      <c r="B3" t="s">
        <v>99</v>
      </c>
      <c r="C3" t="s">
        <v>100</v>
      </c>
      <c r="D3" t="s">
        <v>101</v>
      </c>
      <c r="F3">
        <f>Components912[[#This Row],[Value]]</f>
        <v>0</v>
      </c>
      <c r="K3" t="s">
        <v>102</v>
      </c>
      <c r="L3" t="s">
        <v>103</v>
      </c>
      <c r="O3" s="1" t="s">
        <v>22</v>
      </c>
      <c r="Q3" t="s">
        <v>98</v>
      </c>
      <c r="R3">
        <v>7471287</v>
      </c>
      <c r="S3">
        <v>7471287</v>
      </c>
    </row>
    <row r="4" spans="1:20">
      <c r="A4" t="s">
        <v>405</v>
      </c>
      <c r="B4" t="s">
        <v>400</v>
      </c>
      <c r="C4" t="s">
        <v>406</v>
      </c>
      <c r="D4" t="s">
        <v>407</v>
      </c>
      <c r="H4" t="s">
        <v>109</v>
      </c>
      <c r="I4" t="s">
        <v>404</v>
      </c>
      <c r="J4" t="s">
        <v>408</v>
      </c>
      <c r="O4" t="s">
        <v>22</v>
      </c>
      <c r="P4" t="s">
        <v>413</v>
      </c>
      <c r="Q4" t="s">
        <v>412</v>
      </c>
      <c r="R4" t="s">
        <v>397</v>
      </c>
      <c r="S4" t="s">
        <v>398</v>
      </c>
    </row>
    <row r="5" spans="1:20">
      <c r="A5" t="s">
        <v>409</v>
      </c>
      <c r="C5" s="1" t="s">
        <v>84</v>
      </c>
      <c r="F5" s="6">
        <f>Components912[[#This Row],[Value]]</f>
        <v>0</v>
      </c>
      <c r="J5" t="s">
        <v>410</v>
      </c>
      <c r="O5" t="s">
        <v>22</v>
      </c>
      <c r="R5" s="1" t="s">
        <v>85</v>
      </c>
      <c r="S5" t="s">
        <v>411</v>
      </c>
    </row>
    <row r="6" spans="1:20">
      <c r="A6" t="s">
        <v>461</v>
      </c>
      <c r="F6" s="6">
        <f>Components912[[#This Row],[Value]]</f>
        <v>0</v>
      </c>
      <c r="J6" t="s">
        <v>646</v>
      </c>
      <c r="O6" t="s">
        <v>22</v>
      </c>
      <c r="P6" t="s">
        <v>756</v>
      </c>
      <c r="R6" t="s">
        <v>462</v>
      </c>
      <c r="S6" t="s">
        <v>754</v>
      </c>
      <c r="T6" t="s">
        <v>753</v>
      </c>
    </row>
    <row r="7" spans="1:20">
      <c r="A7" t="s">
        <v>463</v>
      </c>
      <c r="F7" s="6">
        <f>Components912[[#This Row],[Value]]</f>
        <v>0</v>
      </c>
      <c r="J7" t="s">
        <v>646</v>
      </c>
      <c r="O7" t="s">
        <v>22</v>
      </c>
      <c r="R7" t="s">
        <v>462</v>
      </c>
      <c r="S7" t="s">
        <v>464</v>
      </c>
    </row>
    <row r="8" spans="1:20">
      <c r="A8" t="s">
        <v>508</v>
      </c>
      <c r="F8" s="6">
        <f>Components912[[#This Row],[Value]]</f>
        <v>0</v>
      </c>
      <c r="J8" t="s">
        <v>646</v>
      </c>
      <c r="O8" t="s">
        <v>22</v>
      </c>
      <c r="R8" t="s">
        <v>510</v>
      </c>
      <c r="S8" t="s">
        <v>511</v>
      </c>
    </row>
    <row r="9" spans="1:20">
      <c r="A9" t="s">
        <v>509</v>
      </c>
      <c r="F9" s="6">
        <f>Components912[[#This Row],[Value]]</f>
        <v>0</v>
      </c>
      <c r="J9" t="s">
        <v>646</v>
      </c>
      <c r="O9" t="s">
        <v>22</v>
      </c>
      <c r="R9" t="s">
        <v>510</v>
      </c>
      <c r="S9" t="s">
        <v>512</v>
      </c>
    </row>
    <row r="10" spans="1:20">
      <c r="A10" t="s">
        <v>577</v>
      </c>
      <c r="B10" t="s">
        <v>578</v>
      </c>
      <c r="C10" t="s">
        <v>579</v>
      </c>
      <c r="D10" t="s">
        <v>580</v>
      </c>
      <c r="F10" s="6">
        <f>Components912[[#This Row],[Value]]</f>
        <v>0</v>
      </c>
      <c r="J10" t="s">
        <v>569</v>
      </c>
      <c r="O10" t="s">
        <v>22</v>
      </c>
      <c r="P10" t="s">
        <v>582</v>
      </c>
      <c r="Q10" t="s">
        <v>581</v>
      </c>
      <c r="R10" t="s">
        <v>577</v>
      </c>
      <c r="S10" t="s">
        <v>583</v>
      </c>
    </row>
    <row r="11" spans="1:20">
      <c r="A11" s="18" t="s">
        <v>399</v>
      </c>
      <c r="B11" t="s">
        <v>400</v>
      </c>
      <c r="C11" t="s">
        <v>401</v>
      </c>
      <c r="D11" t="s">
        <v>402</v>
      </c>
      <c r="F11" s="6">
        <f>Components912[[#This Row],[Value]]</f>
        <v>0</v>
      </c>
      <c r="H11" t="s">
        <v>393</v>
      </c>
      <c r="I11" t="s">
        <v>404</v>
      </c>
      <c r="J11" t="s">
        <v>403</v>
      </c>
      <c r="O11" t="s">
        <v>22</v>
      </c>
      <c r="P11" t="s">
        <v>584</v>
      </c>
      <c r="Q11" t="s">
        <v>585</v>
      </c>
      <c r="R11" t="s">
        <v>586</v>
      </c>
      <c r="S11" t="s">
        <v>587</v>
      </c>
    </row>
    <row r="12" spans="1:20">
      <c r="A12" t="s">
        <v>642</v>
      </c>
      <c r="B12" t="s">
        <v>643</v>
      </c>
      <c r="C12" t="s">
        <v>644</v>
      </c>
      <c r="D12" t="s">
        <v>645</v>
      </c>
      <c r="F12" s="6">
        <f>Components912[[#This Row],[Value]]</f>
        <v>0</v>
      </c>
      <c r="I12" t="s">
        <v>394</v>
      </c>
      <c r="J12" t="s">
        <v>646</v>
      </c>
      <c r="O12" t="s">
        <v>22</v>
      </c>
      <c r="P12" t="s">
        <v>641</v>
      </c>
      <c r="Q12" t="s">
        <v>647</v>
      </c>
      <c r="R12" t="s">
        <v>613</v>
      </c>
      <c r="S12" t="s">
        <v>648</v>
      </c>
    </row>
    <row r="13" spans="1:20">
      <c r="A13" t="s">
        <v>742</v>
      </c>
      <c r="B13" t="s">
        <v>743</v>
      </c>
      <c r="C13" t="s">
        <v>744</v>
      </c>
      <c r="D13" t="s">
        <v>745</v>
      </c>
      <c r="F13" s="6">
        <f>Components912[[#This Row],[Value]]</f>
        <v>0</v>
      </c>
      <c r="H13" t="s">
        <v>747</v>
      </c>
      <c r="I13" t="s">
        <v>746</v>
      </c>
      <c r="J13" t="s">
        <v>569</v>
      </c>
      <c r="O13" t="s">
        <v>22</v>
      </c>
      <c r="P13" t="s">
        <v>749</v>
      </c>
      <c r="Q13" t="s">
        <v>748</v>
      </c>
      <c r="R13" t="s">
        <v>740</v>
      </c>
      <c r="S13" t="s">
        <v>741</v>
      </c>
    </row>
    <row r="14" spans="1:20">
      <c r="A14" t="s">
        <v>750</v>
      </c>
      <c r="F14" s="6">
        <f>Components912[[#This Row],[Value]]</f>
        <v>0</v>
      </c>
      <c r="J14" t="s">
        <v>646</v>
      </c>
      <c r="O14" t="s">
        <v>22</v>
      </c>
      <c r="P14" t="s">
        <v>757</v>
      </c>
      <c r="R14" t="s">
        <v>751</v>
      </c>
      <c r="S14" t="s">
        <v>752</v>
      </c>
    </row>
    <row r="15" spans="1:20">
      <c r="A15" t="s">
        <v>758</v>
      </c>
      <c r="F15" s="6">
        <f>Components912[[#This Row],[Value]]</f>
        <v>0</v>
      </c>
      <c r="J15" t="s">
        <v>759</v>
      </c>
      <c r="O15" t="s">
        <v>22</v>
      </c>
      <c r="P15" t="s">
        <v>760</v>
      </c>
      <c r="R15" t="s">
        <v>751</v>
      </c>
      <c r="S15" t="s">
        <v>761</v>
      </c>
    </row>
    <row r="16" spans="1:20">
      <c r="A16" t="s">
        <v>992</v>
      </c>
      <c r="B16" t="s">
        <v>993</v>
      </c>
      <c r="C16" t="s">
        <v>994</v>
      </c>
      <c r="D16" t="s">
        <v>645</v>
      </c>
      <c r="F16" s="6">
        <f>Components912[[#This Row],[Value]]</f>
        <v>0</v>
      </c>
      <c r="J16" t="s">
        <v>646</v>
      </c>
      <c r="O16" t="s">
        <v>22</v>
      </c>
      <c r="P16" t="s">
        <v>998</v>
      </c>
      <c r="Q16" t="s">
        <v>995</v>
      </c>
      <c r="R16" t="s">
        <v>996</v>
      </c>
      <c r="S16" t="s">
        <v>997</v>
      </c>
    </row>
    <row r="17" spans="1:19">
      <c r="A17" t="s">
        <v>1038</v>
      </c>
      <c r="B17" t="s">
        <v>643</v>
      </c>
      <c r="C17" t="s">
        <v>1040</v>
      </c>
      <c r="D17" t="s">
        <v>1041</v>
      </c>
      <c r="F17" s="6">
        <f>Components912[[#This Row],[Value]]</f>
        <v>0</v>
      </c>
      <c r="I17" t="s">
        <v>1042</v>
      </c>
      <c r="J17" t="s">
        <v>1039</v>
      </c>
      <c r="O17" t="s">
        <v>22</v>
      </c>
      <c r="P17" t="s">
        <v>1045</v>
      </c>
      <c r="Q17" t="s">
        <v>1043</v>
      </c>
      <c r="R17" t="s">
        <v>613</v>
      </c>
      <c r="S17" t="s">
        <v>1044</v>
      </c>
    </row>
    <row r="18" spans="1:19">
      <c r="A18" t="s">
        <v>1115</v>
      </c>
      <c r="B18" t="s">
        <v>1118</v>
      </c>
      <c r="C18" t="s">
        <v>1117</v>
      </c>
      <c r="D18" t="s">
        <v>1119</v>
      </c>
      <c r="F18" s="6">
        <f>Components912[[#This Row],[Value]]</f>
        <v>0</v>
      </c>
      <c r="H18" t="s">
        <v>1120</v>
      </c>
      <c r="I18" t="s">
        <v>1121</v>
      </c>
      <c r="J18" t="s">
        <v>1039</v>
      </c>
      <c r="M18" t="s">
        <v>1122</v>
      </c>
      <c r="O18" t="s">
        <v>22</v>
      </c>
      <c r="Q18" t="s">
        <v>1123</v>
      </c>
      <c r="R18" t="s">
        <v>1124</v>
      </c>
      <c r="S18" t="s">
        <v>1116</v>
      </c>
    </row>
    <row r="19" spans="1:19">
      <c r="A19" t="s">
        <v>1125</v>
      </c>
      <c r="B19" t="s">
        <v>1118</v>
      </c>
      <c r="C19" t="s">
        <v>1126</v>
      </c>
      <c r="D19" t="s">
        <v>1119</v>
      </c>
      <c r="F19" s="6">
        <f>Components912[[#This Row],[Value]]</f>
        <v>0</v>
      </c>
      <c r="H19" t="s">
        <v>1120</v>
      </c>
      <c r="I19" t="s">
        <v>1121</v>
      </c>
      <c r="J19" t="s">
        <v>1039</v>
      </c>
      <c r="M19" t="s">
        <v>1122</v>
      </c>
      <c r="O19" t="s">
        <v>22</v>
      </c>
      <c r="Q19" t="s">
        <v>1127</v>
      </c>
      <c r="R19" t="s">
        <v>586</v>
      </c>
      <c r="S19" t="s">
        <v>1128</v>
      </c>
    </row>
    <row r="20" spans="1:19">
      <c r="A20" t="s">
        <v>1129</v>
      </c>
      <c r="B20" t="s">
        <v>1130</v>
      </c>
      <c r="C20" t="s">
        <v>1131</v>
      </c>
      <c r="D20" t="s">
        <v>1119</v>
      </c>
      <c r="F20" s="6">
        <f>Components912[[#This Row],[Value]]</f>
        <v>0</v>
      </c>
      <c r="H20" t="s">
        <v>393</v>
      </c>
      <c r="I20" t="s">
        <v>66</v>
      </c>
      <c r="J20" t="s">
        <v>1039</v>
      </c>
      <c r="M20" t="s">
        <v>1122</v>
      </c>
      <c r="O20" t="s">
        <v>22</v>
      </c>
      <c r="Q20" t="s">
        <v>1132</v>
      </c>
      <c r="R20" t="s">
        <v>751</v>
      </c>
      <c r="S20" t="s">
        <v>1133</v>
      </c>
    </row>
  </sheetData>
  <hyperlinks>
    <hyperlink ref="D3" r:id="rId1" display="https://www.digikey.com/en/products/filter/terminals/quick-connects-quick-disconnect-connectors/392"/>
    <hyperlink ref="D4" r:id="rId2" tooltip="Connectors/Barrier Terminal Blocks" display="https://lcsc.com/products/Barrier-Terminal-Blocks_11073.html"/>
    <hyperlink ref="D10" r:id="rId3" tooltip="Connectors/Audio Connectors" display="https://lcsc.com/products/Audio-Connectors_590.html"/>
    <hyperlink ref="P10" r:id="rId4"/>
    <hyperlink ref="Q10" r:id="rId5"/>
    <hyperlink ref="D11" r:id="rId6" tooltip="Connectors/Screw Terminal Blocks" display="https://lcsc.com/products/Screw-Terminal-Blocks_11140.html"/>
    <hyperlink ref="Q11" r:id="rId7"/>
    <hyperlink ref="D12" r:id="rId8" tooltip="Connectors/Wire To Board Connector" display="https://lcsc.com/products/Wire-To-Board-Connector_11068.html"/>
    <hyperlink ref="D13" r:id="rId9" tooltip="Connectors/DC Power Connectors" display="https://www.lcsc.com/category/557.html"/>
    <hyperlink ref="Q16" r:id="rId10"/>
    <hyperlink ref="P16" r:id="rId11"/>
    <hyperlink ref="Q17" r:id="rId12"/>
    <hyperlink ref="P17" r:id="rId13"/>
    <hyperlink ref="Q18" r:id="rId14"/>
    <hyperlink ref="D19" r:id="rId15" display="https://www.digikey.com/en/products/filter/rectangular-connectors/headers-male-pins/314"/>
    <hyperlink ref="Q19" r:id="rId16"/>
    <hyperlink ref="Q20" r:id="rId17"/>
  </hyperlinks>
  <pageMargins left="0.7" right="0.7" top="0.75" bottom="0.75" header="0.3" footer="0.3"/>
  <pageSetup orientation="portrait" r:id="rId18"/>
  <tableParts count="1">
    <tablePart r:id="rId1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2"/>
  <sheetViews>
    <sheetView workbookViewId="0">
      <selection activeCell="E11" sqref="E11"/>
    </sheetView>
  </sheetViews>
  <sheetFormatPr defaultRowHeight="14.4"/>
  <cols>
    <col min="1" max="1" width="14.88671875" customWidth="1"/>
    <col min="3" max="3" width="14.77734375" customWidth="1"/>
    <col min="4" max="4" width="19.109375" customWidth="1"/>
    <col min="19" max="19" width="24.6640625" customWidth="1"/>
  </cols>
  <sheetData>
    <row r="1" spans="1:19">
      <c r="A1" t="s">
        <v>33</v>
      </c>
      <c r="B1" t="s">
        <v>5</v>
      </c>
      <c r="C1" t="s">
        <v>4</v>
      </c>
      <c r="D1" t="s">
        <v>6</v>
      </c>
      <c r="E1" t="s">
        <v>0</v>
      </c>
      <c r="F1" t="s">
        <v>11</v>
      </c>
      <c r="G1" t="s">
        <v>10</v>
      </c>
      <c r="H1" t="s">
        <v>13</v>
      </c>
      <c r="I1" t="s">
        <v>14</v>
      </c>
      <c r="J1" t="s">
        <v>3</v>
      </c>
      <c r="K1" t="s">
        <v>7</v>
      </c>
      <c r="L1" t="s">
        <v>8</v>
      </c>
      <c r="M1" t="s">
        <v>9</v>
      </c>
      <c r="N1" t="s">
        <v>12</v>
      </c>
      <c r="O1" t="s">
        <v>15</v>
      </c>
      <c r="P1" t="s">
        <v>16</v>
      </c>
      <c r="Q1" t="s">
        <v>17</v>
      </c>
      <c r="R1" t="s">
        <v>1</v>
      </c>
      <c r="S1" t="s">
        <v>2</v>
      </c>
    </row>
    <row r="2" spans="1:19">
      <c r="A2" t="s">
        <v>366</v>
      </c>
      <c r="B2" t="s">
        <v>367</v>
      </c>
      <c r="C2" t="s">
        <v>368</v>
      </c>
      <c r="D2" t="s">
        <v>369</v>
      </c>
      <c r="H2" t="s">
        <v>370</v>
      </c>
      <c r="J2" t="s">
        <v>373</v>
      </c>
      <c r="M2" t="s">
        <v>372</v>
      </c>
      <c r="N2" t="s">
        <v>371</v>
      </c>
      <c r="O2" t="s">
        <v>22</v>
      </c>
      <c r="P2" t="s">
        <v>375</v>
      </c>
      <c r="Q2" t="s">
        <v>374</v>
      </c>
      <c r="R2" t="s">
        <v>365</v>
      </c>
      <c r="S2" s="3" t="s">
        <v>364</v>
      </c>
    </row>
  </sheetData>
  <hyperlinks>
    <hyperlink ref="D2" r:id="rId1" tooltip="Audio Products / Vibration Motors/Buzzers" display="https://lcsc.com/products/Buzzers_386.html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10"/>
  <sheetViews>
    <sheetView zoomScale="85" zoomScaleNormal="85" workbookViewId="0">
      <selection activeCell="S17" sqref="S17"/>
    </sheetView>
  </sheetViews>
  <sheetFormatPr defaultRowHeight="14.4"/>
  <cols>
    <col min="1" max="1" width="29.5546875" customWidth="1"/>
    <col min="3" max="3" width="20.5546875" customWidth="1"/>
    <col min="4" max="4" width="16.6640625" customWidth="1"/>
    <col min="9" max="9" width="14.6640625" customWidth="1"/>
    <col min="10" max="10" width="19.33203125" customWidth="1"/>
    <col min="11" max="11" width="8.88671875" style="1"/>
    <col min="17" max="17" width="14.109375" customWidth="1"/>
    <col min="18" max="18" width="22.88671875" customWidth="1"/>
    <col min="19" max="19" width="21.5546875" customWidth="1"/>
    <col min="20" max="20" width="24" customWidth="1"/>
  </cols>
  <sheetData>
    <row r="1" spans="1:20">
      <c r="A1" t="s">
        <v>33</v>
      </c>
      <c r="B1" t="s">
        <v>5</v>
      </c>
      <c r="C1" t="s">
        <v>4</v>
      </c>
      <c r="D1" t="s">
        <v>6</v>
      </c>
      <c r="E1" t="s">
        <v>0</v>
      </c>
      <c r="F1" t="s">
        <v>11</v>
      </c>
      <c r="G1" t="s">
        <v>10</v>
      </c>
      <c r="H1" t="s">
        <v>13</v>
      </c>
      <c r="I1" t="s">
        <v>339</v>
      </c>
      <c r="J1" t="s">
        <v>14</v>
      </c>
      <c r="K1" s="1" t="s">
        <v>3</v>
      </c>
      <c r="L1" t="s">
        <v>7</v>
      </c>
      <c r="M1" t="s">
        <v>8</v>
      </c>
      <c r="N1" t="s">
        <v>9</v>
      </c>
      <c r="O1" t="s">
        <v>12</v>
      </c>
      <c r="P1" t="s">
        <v>15</v>
      </c>
      <c r="Q1" t="s">
        <v>16</v>
      </c>
      <c r="R1" t="s">
        <v>17</v>
      </c>
      <c r="S1" t="s">
        <v>1</v>
      </c>
      <c r="T1" t="s">
        <v>2</v>
      </c>
    </row>
    <row r="2" spans="1:20">
      <c r="A2" t="s">
        <v>198</v>
      </c>
      <c r="B2" t="s">
        <v>193</v>
      </c>
      <c r="C2" t="s">
        <v>197</v>
      </c>
      <c r="E2" t="s">
        <v>194</v>
      </c>
      <c r="F2" t="str">
        <f>Components91314[Value]</f>
        <v>4.7mH</v>
      </c>
      <c r="G2" t="s">
        <v>195</v>
      </c>
      <c r="J2" t="s">
        <v>196</v>
      </c>
      <c r="K2" s="1" t="s">
        <v>199</v>
      </c>
      <c r="P2" t="s">
        <v>22</v>
      </c>
      <c r="Q2" t="s">
        <v>192</v>
      </c>
      <c r="S2" t="s">
        <v>137</v>
      </c>
      <c r="T2" t="s">
        <v>200</v>
      </c>
    </row>
    <row r="3" spans="1:20">
      <c r="A3" t="s">
        <v>262</v>
      </c>
      <c r="B3" t="s">
        <v>263</v>
      </c>
      <c r="C3" t="s">
        <v>264</v>
      </c>
      <c r="D3" t="s">
        <v>265</v>
      </c>
      <c r="E3" t="s">
        <v>266</v>
      </c>
      <c r="F3" t="str">
        <f>Components91314[Value]</f>
        <v>6.8uH</v>
      </c>
      <c r="G3" t="s">
        <v>110</v>
      </c>
      <c r="I3" t="s">
        <v>341</v>
      </c>
      <c r="J3" t="s">
        <v>342</v>
      </c>
      <c r="K3" s="1" t="s">
        <v>267</v>
      </c>
      <c r="P3" t="s">
        <v>22</v>
      </c>
      <c r="Q3" t="s">
        <v>269</v>
      </c>
      <c r="R3" t="s">
        <v>268</v>
      </c>
      <c r="S3" t="s">
        <v>137</v>
      </c>
      <c r="T3" t="s">
        <v>270</v>
      </c>
    </row>
    <row r="4" spans="1:20">
      <c r="A4" t="s">
        <v>343</v>
      </c>
      <c r="B4" t="s">
        <v>344</v>
      </c>
      <c r="C4" t="s">
        <v>345</v>
      </c>
      <c r="D4" t="s">
        <v>346</v>
      </c>
      <c r="E4" t="s">
        <v>347</v>
      </c>
      <c r="F4" t="str">
        <f>Components91314[Value]</f>
        <v>100Ω</v>
      </c>
      <c r="G4" t="s">
        <v>348</v>
      </c>
      <c r="I4" t="s">
        <v>349</v>
      </c>
      <c r="J4" t="s">
        <v>350</v>
      </c>
      <c r="K4" s="1" t="s">
        <v>243</v>
      </c>
      <c r="P4" t="s">
        <v>22</v>
      </c>
      <c r="Q4" t="s">
        <v>351</v>
      </c>
      <c r="R4" t="s">
        <v>352</v>
      </c>
      <c r="S4" t="s">
        <v>353</v>
      </c>
      <c r="T4" t="s">
        <v>354</v>
      </c>
    </row>
    <row r="5" spans="1:20">
      <c r="A5" s="8" t="s">
        <v>473</v>
      </c>
      <c r="B5" t="s">
        <v>128</v>
      </c>
      <c r="C5" t="s">
        <v>129</v>
      </c>
      <c r="D5" t="s">
        <v>130</v>
      </c>
      <c r="E5" t="s">
        <v>131</v>
      </c>
      <c r="F5" t="str">
        <f>Components91314[Value]</f>
        <v>4.7 uH</v>
      </c>
      <c r="G5" t="s">
        <v>471</v>
      </c>
      <c r="I5" t="s">
        <v>340</v>
      </c>
      <c r="J5" t="s">
        <v>132</v>
      </c>
      <c r="L5" t="s">
        <v>135</v>
      </c>
      <c r="M5" t="s">
        <v>134</v>
      </c>
      <c r="N5" t="s">
        <v>133</v>
      </c>
      <c r="P5" t="s">
        <v>22</v>
      </c>
      <c r="Q5" t="s">
        <v>136</v>
      </c>
      <c r="R5" t="s">
        <v>138</v>
      </c>
      <c r="S5" t="s">
        <v>137</v>
      </c>
      <c r="T5" t="s">
        <v>472</v>
      </c>
    </row>
    <row r="6" spans="1:20">
      <c r="A6" t="s">
        <v>789</v>
      </c>
      <c r="B6" t="s">
        <v>539</v>
      </c>
      <c r="C6" t="s">
        <v>790</v>
      </c>
      <c r="D6" t="s">
        <v>791</v>
      </c>
      <c r="E6" t="s">
        <v>792</v>
      </c>
      <c r="F6" t="str">
        <f>Components91314[Value]</f>
        <v>47uH</v>
      </c>
      <c r="G6" t="s">
        <v>155</v>
      </c>
      <c r="I6" t="s">
        <v>793</v>
      </c>
      <c r="J6" s="1" t="s">
        <v>794</v>
      </c>
      <c r="K6" s="1" t="s">
        <v>795</v>
      </c>
      <c r="N6" t="s">
        <v>796</v>
      </c>
      <c r="O6" t="s">
        <v>797</v>
      </c>
      <c r="P6" t="s">
        <v>22</v>
      </c>
      <c r="R6" t="s">
        <v>798</v>
      </c>
      <c r="S6" t="s">
        <v>137</v>
      </c>
      <c r="T6" t="s">
        <v>809</v>
      </c>
    </row>
    <row r="7" spans="1:20">
      <c r="A7" t="s">
        <v>800</v>
      </c>
      <c r="B7" t="s">
        <v>801</v>
      </c>
      <c r="C7" t="s">
        <v>802</v>
      </c>
      <c r="D7" t="s">
        <v>803</v>
      </c>
      <c r="E7" t="s">
        <v>804</v>
      </c>
      <c r="F7" t="str">
        <f>Components91314[Value]</f>
        <v>10uH</v>
      </c>
      <c r="G7" t="s">
        <v>110</v>
      </c>
      <c r="I7" t="s">
        <v>805</v>
      </c>
      <c r="J7" t="s">
        <v>806</v>
      </c>
      <c r="K7" t="s">
        <v>807</v>
      </c>
      <c r="P7" t="s">
        <v>22</v>
      </c>
      <c r="Q7" t="s">
        <v>799</v>
      </c>
      <c r="R7" t="s">
        <v>808</v>
      </c>
      <c r="S7" t="s">
        <v>137</v>
      </c>
      <c r="T7" t="s">
        <v>810</v>
      </c>
    </row>
    <row r="8" spans="1:20">
      <c r="A8" s="13" t="s">
        <v>842</v>
      </c>
      <c r="B8" t="s">
        <v>99</v>
      </c>
      <c r="C8" t="s">
        <v>843</v>
      </c>
      <c r="D8" t="s">
        <v>791</v>
      </c>
      <c r="E8" t="s">
        <v>804</v>
      </c>
      <c r="F8" t="str">
        <f>Components91314[Value]</f>
        <v>10uH</v>
      </c>
      <c r="G8" t="s">
        <v>110</v>
      </c>
      <c r="I8" t="s">
        <v>844</v>
      </c>
      <c r="J8" t="s">
        <v>845</v>
      </c>
      <c r="K8" s="1" t="s">
        <v>851</v>
      </c>
      <c r="L8" t="s">
        <v>847</v>
      </c>
      <c r="M8" t="s">
        <v>847</v>
      </c>
      <c r="N8" t="s">
        <v>608</v>
      </c>
      <c r="O8" t="s">
        <v>846</v>
      </c>
      <c r="P8" t="s">
        <v>22</v>
      </c>
      <c r="Q8" t="s">
        <v>849</v>
      </c>
      <c r="R8" t="s">
        <v>848</v>
      </c>
      <c r="S8" t="s">
        <v>137</v>
      </c>
      <c r="T8" t="s">
        <v>850</v>
      </c>
    </row>
    <row r="9" spans="1:20">
      <c r="A9" t="s">
        <v>982</v>
      </c>
      <c r="B9" t="s">
        <v>983</v>
      </c>
      <c r="C9" t="s">
        <v>984</v>
      </c>
      <c r="D9" t="s">
        <v>985</v>
      </c>
      <c r="E9" t="s">
        <v>986</v>
      </c>
      <c r="F9" t="str">
        <f>Components91314[Value]</f>
        <v>1mH</v>
      </c>
      <c r="G9" s="13" t="s">
        <v>987</v>
      </c>
      <c r="I9" t="s">
        <v>988</v>
      </c>
      <c r="J9" t="s">
        <v>989</v>
      </c>
      <c r="K9" s="1" t="s">
        <v>569</v>
      </c>
      <c r="P9" t="s">
        <v>22</v>
      </c>
      <c r="Q9" s="5"/>
      <c r="R9" t="s">
        <v>990</v>
      </c>
      <c r="S9" t="s">
        <v>991</v>
      </c>
      <c r="T9" t="s">
        <v>982</v>
      </c>
    </row>
    <row r="10" spans="1:20">
      <c r="A10" s="13" t="s">
        <v>1024</v>
      </c>
      <c r="B10" t="s">
        <v>1025</v>
      </c>
      <c r="C10" t="s">
        <v>1026</v>
      </c>
      <c r="D10" t="s">
        <v>1027</v>
      </c>
      <c r="E10" t="s">
        <v>1028</v>
      </c>
      <c r="F10" t="str">
        <f>Components91314[Value]</f>
        <v>25mH</v>
      </c>
      <c r="G10" s="13" t="s">
        <v>1029</v>
      </c>
      <c r="I10" t="s">
        <v>1030</v>
      </c>
      <c r="J10" t="s">
        <v>1031</v>
      </c>
      <c r="K10" s="1" t="s">
        <v>569</v>
      </c>
      <c r="L10" t="s">
        <v>1032</v>
      </c>
      <c r="M10" t="s">
        <v>1033</v>
      </c>
      <c r="N10" t="s">
        <v>1034</v>
      </c>
      <c r="O10" t="s">
        <v>1035</v>
      </c>
      <c r="P10" t="s">
        <v>22</v>
      </c>
      <c r="Q10" s="5"/>
      <c r="R10" s="5" t="s">
        <v>1036</v>
      </c>
      <c r="S10" t="s">
        <v>991</v>
      </c>
      <c r="T10">
        <v>744861250</v>
      </c>
    </row>
  </sheetData>
  <hyperlinks>
    <hyperlink ref="B2" r:id="rId1" display="https://www.linhkienchatluong.vn/china_h1257.aspx"/>
    <hyperlink ref="D3" r:id="rId2" tooltip="Inductors, Coils, Chokes/Inductors (SMD)" display="https://lcsc.com/products/Inductors-SMD_337.html"/>
    <hyperlink ref="Q3" r:id="rId3"/>
    <hyperlink ref="Q2" r:id="rId4"/>
    <hyperlink ref="D4" r:id="rId5" tooltip="Filters/Ferrite Beads" display="https://lcsc.com/products/Ferrite-Beads_527.html"/>
    <hyperlink ref="B5" r:id="rId6" display="https://www.mouser.com/manufacturer/bi-technologies/"/>
    <hyperlink ref="Q5" r:id="rId7"/>
    <hyperlink ref="D6" r:id="rId8" display="https://www.digikey.com/en/products/filter/fixed-inductors/71"/>
    <hyperlink ref="J6" r:id="rId9" display="https://www.digikey.com/en/products/filter/fixed-inductors/450-ma/71?s=N4IgjCBcoEwAwA4FVAYygMwIYBsDOApgDQgBuAdlAC4BOArsSAPZQDaIALAKxwAEAtgEEQAXRIAHKlBABVcgEsqAeQwBZAljx0aBEAF8DQA"/>
    <hyperlink ref="R6" r:id="rId10"/>
    <hyperlink ref="D8" r:id="rId11" display="https://www.digikey.com/en/products/filter/fixed-inductors/71"/>
    <hyperlink ref="R9" r:id="rId12"/>
    <hyperlink ref="R10" r:id="rId13"/>
  </hyperlinks>
  <pageMargins left="0.7" right="0.7" top="0.75" bottom="0.75" header="0.3" footer="0.3"/>
  <pageSetup orientation="portrait" r:id="rId14"/>
  <tableParts count="1">
    <tablePart r:id="rId1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4"/>
  <sheetViews>
    <sheetView workbookViewId="0">
      <selection activeCell="G11" sqref="G11"/>
    </sheetView>
  </sheetViews>
  <sheetFormatPr defaultRowHeight="14.4"/>
  <sheetData>
    <row r="1" spans="1:19">
      <c r="A1" t="s">
        <v>33</v>
      </c>
      <c r="B1" t="s">
        <v>5</v>
      </c>
      <c r="C1" t="s">
        <v>4</v>
      </c>
      <c r="D1" t="s">
        <v>6</v>
      </c>
      <c r="E1" t="s">
        <v>0</v>
      </c>
      <c r="F1" t="s">
        <v>11</v>
      </c>
      <c r="G1" t="s">
        <v>10</v>
      </c>
      <c r="H1" t="s">
        <v>13</v>
      </c>
      <c r="I1" t="s">
        <v>14</v>
      </c>
      <c r="J1" s="1" t="s">
        <v>3</v>
      </c>
      <c r="K1" t="s">
        <v>7</v>
      </c>
      <c r="L1" t="s">
        <v>8</v>
      </c>
      <c r="M1" t="s">
        <v>9</v>
      </c>
      <c r="N1" t="s">
        <v>12</v>
      </c>
      <c r="O1" t="s">
        <v>15</v>
      </c>
      <c r="P1" t="s">
        <v>16</v>
      </c>
      <c r="Q1" t="s">
        <v>17</v>
      </c>
      <c r="R1" t="s">
        <v>1</v>
      </c>
      <c r="S1" t="s">
        <v>2</v>
      </c>
    </row>
    <row r="2" spans="1:19">
      <c r="A2" t="s">
        <v>206</v>
      </c>
      <c r="C2" t="s">
        <v>209</v>
      </c>
      <c r="F2">
        <f>Components9131415[Value]</f>
        <v>0</v>
      </c>
      <c r="O2" t="s">
        <v>22</v>
      </c>
      <c r="P2" t="s">
        <v>205</v>
      </c>
      <c r="Q2" t="s">
        <v>208</v>
      </c>
      <c r="R2" t="s">
        <v>206</v>
      </c>
      <c r="S2" t="s">
        <v>207</v>
      </c>
    </row>
    <row r="3" spans="1:19">
      <c r="A3" t="s">
        <v>388</v>
      </c>
      <c r="B3" t="s">
        <v>389</v>
      </c>
      <c r="C3" t="s">
        <v>390</v>
      </c>
      <c r="D3" t="s">
        <v>391</v>
      </c>
      <c r="F3">
        <f>Components9131415[Value]</f>
        <v>0</v>
      </c>
      <c r="H3" t="s">
        <v>393</v>
      </c>
      <c r="I3" t="s">
        <v>394</v>
      </c>
      <c r="J3" t="s">
        <v>392</v>
      </c>
      <c r="O3" t="s">
        <v>22</v>
      </c>
      <c r="P3" t="s">
        <v>387</v>
      </c>
      <c r="Q3" t="s">
        <v>395</v>
      </c>
      <c r="R3" t="s">
        <v>206</v>
      </c>
      <c r="S3" t="s">
        <v>396</v>
      </c>
    </row>
    <row r="4" spans="1:19">
      <c r="A4" t="s">
        <v>886</v>
      </c>
      <c r="B4" t="s">
        <v>887</v>
      </c>
      <c r="C4" t="s">
        <v>888</v>
      </c>
      <c r="D4" t="s">
        <v>889</v>
      </c>
      <c r="F4">
        <f>Components9131415[Value]</f>
        <v>0</v>
      </c>
      <c r="H4" t="s">
        <v>393</v>
      </c>
      <c r="I4" t="s">
        <v>655</v>
      </c>
      <c r="J4" s="1" t="s">
        <v>403</v>
      </c>
      <c r="O4" t="s">
        <v>22</v>
      </c>
      <c r="P4" s="5" t="s">
        <v>891</v>
      </c>
      <c r="Q4" s="5" t="s">
        <v>890</v>
      </c>
      <c r="R4" t="s">
        <v>206</v>
      </c>
      <c r="S4" t="s">
        <v>892</v>
      </c>
    </row>
  </sheetData>
  <hyperlinks>
    <hyperlink ref="D3" r:id="rId1" tooltip="Circuit Protection/Resettable Fuses" display="https://lcsc.com/products/Resettable-Fuses_11042.html"/>
    <hyperlink ref="Q4" r:id="rId2"/>
    <hyperlink ref="P4" r:id="rId3"/>
  </hyperlinks>
  <pageMargins left="0.7" right="0.7" top="0.75" bottom="0.75" header="0.3" footer="0.3"/>
  <pageSetup orientation="portrait" r:id="rId4"/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"/>
  <sheetViews>
    <sheetView workbookViewId="0">
      <selection activeCell="F15" sqref="F15"/>
    </sheetView>
  </sheetViews>
  <sheetFormatPr defaultRowHeight="14.4"/>
  <cols>
    <col min="1" max="1" width="11.33203125" customWidth="1"/>
    <col min="2" max="2" width="10.77734375" customWidth="1"/>
    <col min="3" max="3" width="20.21875" customWidth="1"/>
    <col min="4" max="4" width="25.5546875" customWidth="1"/>
    <col min="10" max="10" width="14.77734375" customWidth="1"/>
    <col min="15" max="15" width="17.109375" customWidth="1"/>
    <col min="16" max="16" width="17" customWidth="1"/>
    <col min="17" max="17" width="16.33203125" customWidth="1"/>
    <col min="18" max="18" width="15.77734375" customWidth="1"/>
    <col min="19" max="19" width="15.6640625" customWidth="1"/>
  </cols>
  <sheetData>
    <row r="1" spans="1:19">
      <c r="A1" t="s">
        <v>33</v>
      </c>
      <c r="B1" t="s">
        <v>5</v>
      </c>
      <c r="C1" t="s">
        <v>4</v>
      </c>
      <c r="D1" t="s">
        <v>6</v>
      </c>
      <c r="E1" t="s">
        <v>0</v>
      </c>
      <c r="F1" t="s">
        <v>11</v>
      </c>
      <c r="G1" t="s">
        <v>10</v>
      </c>
      <c r="H1" t="s">
        <v>13</v>
      </c>
      <c r="I1" t="s">
        <v>14</v>
      </c>
      <c r="J1" s="1" t="s">
        <v>3</v>
      </c>
      <c r="K1" t="s">
        <v>7</v>
      </c>
      <c r="L1" t="s">
        <v>8</v>
      </c>
      <c r="M1" t="s">
        <v>9</v>
      </c>
      <c r="N1" t="s">
        <v>12</v>
      </c>
      <c r="O1" t="s">
        <v>15</v>
      </c>
      <c r="P1" t="s">
        <v>16</v>
      </c>
      <c r="Q1" t="s">
        <v>17</v>
      </c>
      <c r="R1" t="s">
        <v>1</v>
      </c>
      <c r="S1" t="s">
        <v>2</v>
      </c>
    </row>
    <row r="2" spans="1:19">
      <c r="A2" t="s">
        <v>272</v>
      </c>
      <c r="B2" t="s">
        <v>273</v>
      </c>
      <c r="C2" t="s">
        <v>274</v>
      </c>
      <c r="D2" t="s">
        <v>275</v>
      </c>
      <c r="J2" t="s">
        <v>276</v>
      </c>
      <c r="O2" t="s">
        <v>22</v>
      </c>
      <c r="P2" t="s">
        <v>278</v>
      </c>
      <c r="Q2" t="s">
        <v>277</v>
      </c>
      <c r="R2" t="s">
        <v>272</v>
      </c>
      <c r="S2" t="s">
        <v>271</v>
      </c>
    </row>
    <row r="3" spans="1:19">
      <c r="A3" t="s">
        <v>976</v>
      </c>
      <c r="B3" t="s">
        <v>977</v>
      </c>
      <c r="C3" t="s">
        <v>978</v>
      </c>
      <c r="D3" t="s">
        <v>973</v>
      </c>
      <c r="J3" t="s">
        <v>979</v>
      </c>
      <c r="O3" t="s">
        <v>22</v>
      </c>
      <c r="P3" t="s">
        <v>980</v>
      </c>
      <c r="Q3" t="s">
        <v>974</v>
      </c>
      <c r="R3" t="s">
        <v>975</v>
      </c>
      <c r="S3" t="s">
        <v>981</v>
      </c>
    </row>
  </sheetData>
  <hyperlinks>
    <hyperlink ref="D2" r:id="rId1" display="https://www.digikey.com/en/products/filter/optocouplers-optoisolators/triac-scr-output-optoisolators/904"/>
    <hyperlink ref="Q2" r:id="rId2"/>
    <hyperlink ref="P2" r:id="rId3"/>
    <hyperlink ref="Q3" r:id="rId4"/>
    <hyperlink ref="P3" r:id="rId5"/>
  </hyperlinks>
  <pageMargins left="0.7" right="0.7" top="0.75" bottom="0.75" header="0.3" footer="0.3"/>
  <tableParts count="1"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5"/>
  <sheetViews>
    <sheetView workbookViewId="0">
      <selection activeCell="R10" sqref="R10"/>
    </sheetView>
  </sheetViews>
  <sheetFormatPr defaultRowHeight="14.4"/>
  <cols>
    <col min="1" max="1" width="15.6640625" customWidth="1"/>
    <col min="2" max="2" width="20.77734375" customWidth="1"/>
    <col min="3" max="3" width="31.44140625" customWidth="1"/>
    <col min="4" max="4" width="16.21875" customWidth="1"/>
    <col min="18" max="19" width="20.33203125" customWidth="1"/>
  </cols>
  <sheetData>
    <row r="1" spans="1:19">
      <c r="A1" t="s">
        <v>33</v>
      </c>
      <c r="B1" t="s">
        <v>5</v>
      </c>
      <c r="C1" t="s">
        <v>4</v>
      </c>
      <c r="D1" t="s">
        <v>6</v>
      </c>
      <c r="E1" t="s">
        <v>0</v>
      </c>
      <c r="F1" t="s">
        <v>11</v>
      </c>
      <c r="G1" t="s">
        <v>10</v>
      </c>
      <c r="H1" t="s">
        <v>13</v>
      </c>
      <c r="I1" t="s">
        <v>14</v>
      </c>
      <c r="J1" s="1" t="s">
        <v>3</v>
      </c>
      <c r="K1" t="s">
        <v>7</v>
      </c>
      <c r="L1" t="s">
        <v>8</v>
      </c>
      <c r="M1" t="s">
        <v>9</v>
      </c>
      <c r="N1" t="s">
        <v>12</v>
      </c>
      <c r="O1" t="s">
        <v>15</v>
      </c>
      <c r="P1" t="s">
        <v>16</v>
      </c>
      <c r="Q1" t="s">
        <v>17</v>
      </c>
      <c r="R1" t="s">
        <v>1</v>
      </c>
      <c r="S1" t="s">
        <v>2</v>
      </c>
    </row>
    <row r="2" spans="1:19">
      <c r="A2" t="s">
        <v>317</v>
      </c>
      <c r="B2" t="s">
        <v>318</v>
      </c>
      <c r="C2" t="s">
        <v>319</v>
      </c>
      <c r="D2" t="s">
        <v>320</v>
      </c>
      <c r="H2" t="s">
        <v>325</v>
      </c>
      <c r="I2" t="s">
        <v>326</v>
      </c>
      <c r="J2" t="s">
        <v>321</v>
      </c>
      <c r="O2" t="s">
        <v>22</v>
      </c>
      <c r="P2" t="s">
        <v>322</v>
      </c>
      <c r="Q2" t="s">
        <v>323</v>
      </c>
      <c r="R2" t="s">
        <v>324</v>
      </c>
      <c r="S2" t="s">
        <v>324</v>
      </c>
    </row>
    <row r="3" spans="1:19">
      <c r="A3" t="s">
        <v>355</v>
      </c>
      <c r="B3" t="s">
        <v>231</v>
      </c>
      <c r="C3" t="s">
        <v>356</v>
      </c>
      <c r="D3" t="s">
        <v>357</v>
      </c>
      <c r="H3" t="s">
        <v>358</v>
      </c>
      <c r="I3" t="s">
        <v>235</v>
      </c>
      <c r="J3" t="s">
        <v>359</v>
      </c>
      <c r="O3" t="s">
        <v>22</v>
      </c>
      <c r="P3" t="s">
        <v>361</v>
      </c>
      <c r="Q3" t="s">
        <v>360</v>
      </c>
      <c r="R3" t="s">
        <v>362</v>
      </c>
      <c r="S3" t="s">
        <v>363</v>
      </c>
    </row>
    <row r="4" spans="1:19">
      <c r="A4" t="s">
        <v>1086</v>
      </c>
      <c r="B4" t="s">
        <v>1087</v>
      </c>
      <c r="C4" t="s">
        <v>1091</v>
      </c>
      <c r="D4" t="s">
        <v>357</v>
      </c>
      <c r="H4" t="s">
        <v>1089</v>
      </c>
      <c r="I4" t="s">
        <v>1088</v>
      </c>
      <c r="J4" t="s">
        <v>1090</v>
      </c>
      <c r="O4" t="s">
        <v>22</v>
      </c>
      <c r="P4" t="s">
        <v>1094</v>
      </c>
      <c r="Q4" t="s">
        <v>1092</v>
      </c>
      <c r="R4" t="s">
        <v>1093</v>
      </c>
      <c r="S4" t="s">
        <v>1114</v>
      </c>
    </row>
    <row r="5" spans="1:19">
      <c r="H5" s="7"/>
    </row>
  </sheetData>
  <hyperlinks>
    <hyperlink ref="B2" r:id="rId1" display="https://www.mouser.vn/manufacturer/central-semiconductor/"/>
    <hyperlink ref="D3" r:id="rId2" display="https://www.digikey.com/en/products/filter/transistors/bipolar-bjt/single-bipolar-transistors/276"/>
    <hyperlink ref="Q4" r:id="rId3"/>
    <hyperlink ref="P4" r:id="rId4"/>
  </hyperlinks>
  <pageMargins left="0.7" right="0.7" top="0.75" bottom="0.75" header="0.3" footer="0.3"/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2"/>
  <sheetViews>
    <sheetView workbookViewId="0">
      <selection sqref="A1:S3"/>
    </sheetView>
  </sheetViews>
  <sheetFormatPr defaultRowHeight="14.4"/>
  <cols>
    <col min="1" max="1" width="12.6640625" customWidth="1"/>
    <col min="3" max="3" width="17.109375" customWidth="1"/>
  </cols>
  <sheetData>
    <row r="1" spans="1:19">
      <c r="A1" t="s">
        <v>33</v>
      </c>
      <c r="B1" t="s">
        <v>5</v>
      </c>
      <c r="C1" t="s">
        <v>4</v>
      </c>
      <c r="D1" t="s">
        <v>6</v>
      </c>
      <c r="E1" t="s">
        <v>0</v>
      </c>
      <c r="F1" t="s">
        <v>11</v>
      </c>
      <c r="G1" t="s">
        <v>10</v>
      </c>
      <c r="H1" t="s">
        <v>13</v>
      </c>
      <c r="I1" t="s">
        <v>14</v>
      </c>
      <c r="J1" s="1" t="s">
        <v>3</v>
      </c>
      <c r="K1" t="s">
        <v>7</v>
      </c>
      <c r="L1" t="s">
        <v>8</v>
      </c>
      <c r="M1" t="s">
        <v>9</v>
      </c>
      <c r="N1" t="s">
        <v>12</v>
      </c>
      <c r="O1" t="s">
        <v>15</v>
      </c>
      <c r="P1" t="s">
        <v>16</v>
      </c>
      <c r="Q1" t="s">
        <v>17</v>
      </c>
      <c r="R1" t="s">
        <v>1</v>
      </c>
      <c r="S1" t="s">
        <v>2</v>
      </c>
    </row>
    <row r="2" spans="1:19">
      <c r="A2" t="s">
        <v>474</v>
      </c>
      <c r="B2" t="s">
        <v>475</v>
      </c>
      <c r="C2" t="s">
        <v>476</v>
      </c>
      <c r="D2" t="s">
        <v>477</v>
      </c>
      <c r="G2" t="s">
        <v>479</v>
      </c>
      <c r="H2" t="s">
        <v>478</v>
      </c>
      <c r="J2" t="s">
        <v>480</v>
      </c>
      <c r="K2" t="s">
        <v>481</v>
      </c>
      <c r="O2" t="s">
        <v>22</v>
      </c>
      <c r="P2" t="s">
        <v>483</v>
      </c>
      <c r="Q2" t="s">
        <v>482</v>
      </c>
      <c r="R2" t="s">
        <v>474</v>
      </c>
      <c r="S2" t="s">
        <v>474</v>
      </c>
    </row>
  </sheetData>
  <hyperlinks>
    <hyperlink ref="B2" r:id="rId1" display="https://www.mouser.vn/manufacturer/nxp-semiconductors/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2"/>
  <sheetViews>
    <sheetView workbookViewId="0">
      <selection activeCell="L18" sqref="L18"/>
    </sheetView>
  </sheetViews>
  <sheetFormatPr defaultRowHeight="14.4"/>
  <cols>
    <col min="15" max="15" width="16.21875" customWidth="1"/>
  </cols>
  <sheetData>
    <row r="1" spans="1:19">
      <c r="A1" t="s">
        <v>33</v>
      </c>
      <c r="B1" t="s">
        <v>5</v>
      </c>
      <c r="C1" t="s">
        <v>4</v>
      </c>
      <c r="D1" t="s">
        <v>6</v>
      </c>
      <c r="E1" t="s">
        <v>0</v>
      </c>
      <c r="F1" t="s">
        <v>11</v>
      </c>
      <c r="G1" t="s">
        <v>10</v>
      </c>
      <c r="H1" t="s">
        <v>13</v>
      </c>
      <c r="I1" t="s">
        <v>14</v>
      </c>
      <c r="J1" s="1" t="s">
        <v>3</v>
      </c>
      <c r="K1" t="s">
        <v>7</v>
      </c>
      <c r="L1" t="s">
        <v>8</v>
      </c>
      <c r="M1" t="s">
        <v>9</v>
      </c>
      <c r="N1" t="s">
        <v>12</v>
      </c>
      <c r="O1" t="s">
        <v>15</v>
      </c>
      <c r="P1" t="s">
        <v>16</v>
      </c>
      <c r="Q1" t="s">
        <v>17</v>
      </c>
      <c r="R1" t="s">
        <v>1</v>
      </c>
      <c r="S1" t="s">
        <v>2</v>
      </c>
    </row>
    <row r="2" spans="1:19">
      <c r="A2" t="s">
        <v>1023</v>
      </c>
      <c r="O2" t="s">
        <v>22</v>
      </c>
      <c r="R2" t="s">
        <v>1037</v>
      </c>
      <c r="S2" t="s">
        <v>1037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63E961-1E5E-4F58-B89D-C851978524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Information</vt:lpstr>
      <vt:lpstr>01 IC</vt:lpstr>
      <vt:lpstr>02 Resistor</vt:lpstr>
      <vt:lpstr>03 Capacitor</vt:lpstr>
      <vt:lpstr>04 Diode TVS</vt:lpstr>
      <vt:lpstr>05 Relay</vt:lpstr>
      <vt:lpstr>06 LED</vt:lpstr>
      <vt:lpstr>07 Thyristor</vt:lpstr>
      <vt:lpstr>08 Button SW</vt:lpstr>
      <vt:lpstr>09  Connector</vt:lpstr>
      <vt:lpstr>10 User Interface</vt:lpstr>
      <vt:lpstr>11 INDUCTOR</vt:lpstr>
      <vt:lpstr>12 FUSE</vt:lpstr>
      <vt:lpstr>13 OPTOISOLATOR</vt:lpstr>
      <vt:lpstr>14 TRAN FET</vt:lpstr>
      <vt:lpstr>15 MODULE</vt:lpstr>
      <vt:lpstr>16 Transformer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</dc:creator>
  <cp:lastModifiedBy>Minh Nguyễn</cp:lastModifiedBy>
  <dcterms:created xsi:type="dcterms:W3CDTF">2015-06-05T18:17:20Z</dcterms:created>
  <dcterms:modified xsi:type="dcterms:W3CDTF">2025-09-27T03:17:06Z</dcterms:modified>
</cp:coreProperties>
</file>